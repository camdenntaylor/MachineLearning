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ctaylor_byu_edu/Documents/IS JUNIOR CORE-Camdens-Laptop/IS 455/modeling/"/>
    </mc:Choice>
  </mc:AlternateContent>
  <xr:revisionPtr revIDLastSave="0" documentId="8_{69D78A02-2661-4B87-81A5-EB23659C6548}" xr6:coauthVersionLast="47" xr6:coauthVersionMax="47" xr10:uidLastSave="{00000000-0000-0000-0000-000000000000}"/>
  <bookViews>
    <workbookView xWindow="-110" yWindow="-110" windowWidth="22780" windowHeight="14540" xr2:uid="{09CC4746-A929-47DE-B2FB-92B66A0F4814}"/>
  </bookViews>
  <sheets>
    <sheet name="insurance" sheetId="1" r:id="rId1"/>
  </sheets>
  <calcPr calcId="0"/>
</workbook>
</file>

<file path=xl/calcChain.xml><?xml version="1.0" encoding="utf-8"?>
<calcChain xmlns="http://schemas.openxmlformats.org/spreadsheetml/2006/main">
  <c r="D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2" i="1"/>
  <c r="O26" i="1"/>
  <c r="O25" i="1"/>
  <c r="O27" i="1"/>
  <c r="Q7" i="1"/>
</calcChain>
</file>

<file path=xl/sharedStrings.xml><?xml version="1.0" encoding="utf-8"?>
<sst xmlns="http://schemas.openxmlformats.org/spreadsheetml/2006/main" count="4066" uniqueCount="50">
  <si>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</si>
  <si>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</si>
  <si>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</si>
  <si>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</si>
  <si>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</si>
  <si>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</si>
  <si>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</si>
  <si>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</si>
  <si>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</si>
  <si>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</si>
  <si>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</si>
  <si>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</si>
  <si>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</si>
  <si>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</si>
  <si>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</si>
  <si>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</si>
  <si>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</si>
  <si>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</si>
  <si>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</si>
  <si>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</si>
  <si>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</si>
  <si>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</si>
  <si>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</si>
  <si>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</si>
  <si>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</si>
  <si>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</si>
  <si>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</si>
  <si>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</si>
  <si>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</si>
  <si>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</si>
  <si>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</si>
  <si>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</si>
  <si>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</si>
  <si>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</si>
  <si>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</si>
  <si>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</si>
  <si>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</si>
  <si>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</si>
  <si>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Significance F (p-value)</t>
  </si>
  <si>
    <t>y = age_b(age_x) + bmi_b(bmi_x) + kids_b(kids_x) + intercept</t>
  </si>
  <si>
    <t>age_b</t>
  </si>
  <si>
    <t>age_x</t>
  </si>
  <si>
    <t>bmi_b</t>
  </si>
  <si>
    <t>bmi_x</t>
  </si>
  <si>
    <t>kids_b</t>
  </si>
  <si>
    <t>kids_x</t>
  </si>
  <si>
    <t>y1</t>
  </si>
  <si>
    <t>y2</t>
  </si>
  <si>
    <t>y3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</si>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</sst>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0.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6" fillId="0" borderId="0" xfId="0" applyFont="1" applyFill="1" applyBorder="1" applyAlignment="1"/>
    <xf numFmtId="0" fontId="16" fillId="0" borderId="10" xfId="0" applyFont="1" applyFill="1" applyBorder="1" applyAlignment="1"/>
    <xf numFmtId="0" fontId="19" fillId="0" borderId="11" xfId="0" applyFont="1" applyFill="1" applyBorder="1" applyAlignment="1">
      <alignment horizontal="center"/>
    </xf>
    <xf numFmtId="0" fontId="0" fillId="0" borderId="0" xfId="0" applyAlignment="1">
      <alignment horizontal="right"/>
    </xf>
    <xf numFmtId="44" fontId="0" fillId="0" borderId="0" xfId="1" applyFont="1"/>
    <xf numFmtId="168" fontId="16" fillId="0" borderId="0" xfId="0" applyNumberFormat="1" applyFont="1" applyFill="1" applyBorder="1" applyAlignment="1"/>
    <xf numFmtId="168" fontId="16" fillId="0" borderId="10" xfId="0" applyNumberFormat="1" applyFont="1" applyFill="1" applyBorder="1" applyAlignment="1"/>
    <xf numFmtId="2" fontId="0" fillId="0" borderId="0" xfId="0" applyNumberFormat="1" applyFill="1" applyBorder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4876-2567-433B-AE42-226E05C9AC31}">
  <dimension ref="A1:W1339"/>
  <sheetViews>
    <sheetView tabSelected="1" workbookViewId="0">
      <selection activeCell="D2" sqref="D2"/>
    </sheetView>
  </sheetViews>
  <sheetFormatPr defaultRowHeight="14.5" x14ac:dyDescent="0.35"/>
  <cols>
    <col min="1" max="1" width="9.1796875" bestFit="1" customWidth="1"/>
    <col min="2" max="2" width="6.36328125" bestFit="1" customWidth="1"/>
    <col min="3" max="3" width="6.81640625" bestFit="1" customWidth="1"/>
    <col min="4" max="4" width="8.90625" bestFit="1" customWidth="1"/>
    <col min="5" max="5" width="9.1796875" bestFit="1" customWidth="1"/>
    <col min="6" max="6" width="8.6328125" bestFit="1" customWidth="1"/>
    <col min="7" max="7" width="8.90625" bestFit="1" customWidth="1"/>
    <col min="8" max="8" width="3.54296875" bestFit="1" customWidth="1"/>
    <col min="9" max="9" width="6.81640625" customWidth="1"/>
    <col min="10" max="10" width="3.7265625" bestFit="1" customWidth="1"/>
    <col min="11" max="11" width="6.81640625" bestFit="1" customWidth="1"/>
    <col min="12" max="12" width="7.36328125" bestFit="1" customWidth="1"/>
    <col min="13" max="13" width="11.81640625" bestFit="1" customWidth="1"/>
    <col min="14" max="14" width="12.54296875" customWidth="1"/>
    <col min="15" max="15" width="18" customWidth="1"/>
    <col min="16" max="16" width="12.453125" bestFit="1" customWidth="1"/>
    <col min="17" max="17" width="13" bestFit="1" customWidth="1"/>
    <col min="18" max="18" width="12.453125" bestFit="1" customWidth="1"/>
    <col min="19" max="19" width="11.81640625" bestFit="1" customWidth="1"/>
    <col min="20" max="20" width="20.81640625" bestFit="1" customWidth="1"/>
    <col min="21" max="23" width="12.453125" bestFit="1" customWidth="1"/>
  </cols>
  <sheetData>
    <row r="1" spans="1:20" x14ac:dyDescent="0.35">
      <c r="A1" t="s">
        <v>5</v>
      </c>
      <c r="B1" t="s">
        <v>1</v>
      </c>
      <c r="C1" t="s">
        <v>4</v>
      </c>
      <c r="D1" t="s">
        <v>12</v>
      </c>
      <c r="E1" t="s">
        <v>9</v>
      </c>
      <c r="F1" t="s">
        <v>14</v>
      </c>
      <c r="G1" t="s">
        <v>13</v>
      </c>
      <c r="H1" t="s">
        <v>1</v>
      </c>
      <c r="I1" t="s">
        <v>4</v>
      </c>
      <c r="J1" t="s">
        <v>0</v>
      </c>
      <c r="K1" t="s">
        <v>2</v>
      </c>
      <c r="L1" t="s">
        <v>3</v>
      </c>
      <c r="M1" t="s">
        <v>6</v>
      </c>
    </row>
    <row r="2" spans="1:20" x14ac:dyDescent="0.35">
      <c r="A2" t="s">
        <v>9</v>
      </c>
      <c r="B2" t="s">
        <v>7</v>
      </c>
      <c r="C2" t="s">
        <v>8</v>
      </c>
      <c r="D2">
        <f>IF($A$2=$D$1,1,0)</f>
        <v>0</v>
      </c>
      <c r="H2">
        <f>IF(B2="female", 0, 1)</f>
        <v>0</v>
      </c>
      <c r="I2">
        <f>IF(C2= "yes", 1, 0)</f>
        <v>1</v>
      </c>
      <c r="J2">
        <v>19</v>
      </c>
      <c r="K2">
        <v>27.9</v>
      </c>
      <c r="L2">
        <v>0</v>
      </c>
      <c r="M2">
        <v>16884.923999999999</v>
      </c>
      <c r="O2" t="s">
        <v>15</v>
      </c>
    </row>
    <row r="3" spans="1:20" ht="15" thickBot="1" x14ac:dyDescent="0.4">
      <c r="A3" t="s">
        <v>12</v>
      </c>
      <c r="B3" t="s">
        <v>10</v>
      </c>
      <c r="C3" t="s">
        <v>11</v>
      </c>
      <c r="H3">
        <f>IF(B3="female", 0, 1)</f>
        <v>1</v>
      </c>
      <c r="I3">
        <f>IF(C3= "yes", 1, 0)</f>
        <v>0</v>
      </c>
      <c r="J3">
        <v>18</v>
      </c>
      <c r="K3">
        <v>33.770000000000003</v>
      </c>
      <c r="L3">
        <v>1</v>
      </c>
      <c r="M3">
        <v>1725.5523000000001</v>
      </c>
    </row>
    <row r="4" spans="1:20" x14ac:dyDescent="0.35">
      <c r="A4" t="s">
        <v>12</v>
      </c>
      <c r="B4" t="s">
        <v>10</v>
      </c>
      <c r="C4" t="s">
        <v>11</v>
      </c>
      <c r="H4">
        <f>IF(B4="female", 0, 1)</f>
        <v>1</v>
      </c>
      <c r="I4">
        <f>IF(C4= "yes", 1, 0)</f>
        <v>0</v>
      </c>
      <c r="J4">
        <v>28</v>
      </c>
      <c r="K4">
        <v>33</v>
      </c>
      <c r="L4">
        <v>3</v>
      </c>
      <c r="M4">
        <v>4449.4620000000004</v>
      </c>
      <c r="O4" s="4" t="s">
        <v>16</v>
      </c>
      <c r="P4" s="4"/>
    </row>
    <row r="5" spans="1:20" x14ac:dyDescent="0.35">
      <c r="A5" t="s">
        <v>13</v>
      </c>
      <c r="B5" t="s">
        <v>10</v>
      </c>
      <c r="C5" t="s">
        <v>11</v>
      </c>
      <c r="H5">
        <f>IF(B5="female", 0, 1)</f>
        <v>1</v>
      </c>
      <c r="I5">
        <f>IF(C5= "yes", 1, 0)</f>
        <v>0</v>
      </c>
      <c r="J5">
        <v>33</v>
      </c>
      <c r="K5">
        <v>22.704999999999998</v>
      </c>
      <c r="L5">
        <v>0</v>
      </c>
      <c r="M5">
        <v>21984.47061</v>
      </c>
      <c r="O5" s="1" t="s">
        <v>17</v>
      </c>
      <c r="P5" s="1">
        <v>0.34655186590533327</v>
      </c>
    </row>
    <row r="6" spans="1:20" x14ac:dyDescent="0.35">
      <c r="A6" t="s">
        <v>13</v>
      </c>
      <c r="B6" t="s">
        <v>10</v>
      </c>
      <c r="C6" t="s">
        <v>11</v>
      </c>
      <c r="H6">
        <f>IF(B6="female", 0, 1)</f>
        <v>1</v>
      </c>
      <c r="I6">
        <f>IF(C6= "yes", 1, 0)</f>
        <v>0</v>
      </c>
      <c r="J6">
        <v>32</v>
      </c>
      <c r="K6">
        <v>28.88</v>
      </c>
      <c r="L6">
        <v>0</v>
      </c>
      <c r="M6">
        <v>3866.8552</v>
      </c>
      <c r="O6" s="5" t="s">
        <v>18</v>
      </c>
      <c r="P6" s="5">
        <v>0.12009819576246808</v>
      </c>
    </row>
    <row r="7" spans="1:20" x14ac:dyDescent="0.35">
      <c r="A7" t="s">
        <v>12</v>
      </c>
      <c r="B7" t="s">
        <v>7</v>
      </c>
      <c r="C7" t="s">
        <v>11</v>
      </c>
      <c r="H7">
        <f>IF(B7="female", 0, 1)</f>
        <v>0</v>
      </c>
      <c r="I7">
        <f>IF(C7= "yes", 1, 0)</f>
        <v>0</v>
      </c>
      <c r="J7">
        <v>31</v>
      </c>
      <c r="K7">
        <v>25.74</v>
      </c>
      <c r="L7">
        <v>0</v>
      </c>
      <c r="M7">
        <v>3756.6215999999999</v>
      </c>
      <c r="O7" s="5" t="s">
        <v>19</v>
      </c>
      <c r="P7" s="5">
        <v>0.11811940609776599</v>
      </c>
      <c r="Q7">
        <f>P6-P7</f>
        <v>1.9787896647020936E-3</v>
      </c>
    </row>
    <row r="8" spans="1:20" x14ac:dyDescent="0.35">
      <c r="A8" t="s">
        <v>12</v>
      </c>
      <c r="B8" t="s">
        <v>7</v>
      </c>
      <c r="C8" t="s">
        <v>11</v>
      </c>
      <c r="H8">
        <f>IF(B8="female", 0, 1)</f>
        <v>0</v>
      </c>
      <c r="I8">
        <f>IF(C8= "yes", 1, 0)</f>
        <v>0</v>
      </c>
      <c r="J8">
        <v>46</v>
      </c>
      <c r="K8">
        <v>33.44</v>
      </c>
      <c r="L8">
        <v>1</v>
      </c>
      <c r="M8">
        <v>8240.5895999999993</v>
      </c>
      <c r="O8" s="1" t="s">
        <v>20</v>
      </c>
      <c r="P8" s="1">
        <v>11372.329622875475</v>
      </c>
    </row>
    <row r="9" spans="1:20" ht="15" thickBot="1" x14ac:dyDescent="0.4">
      <c r="A9" t="s">
        <v>13</v>
      </c>
      <c r="B9" t="s">
        <v>7</v>
      </c>
      <c r="C9" t="s">
        <v>11</v>
      </c>
      <c r="H9">
        <f>IF(B9="female", 0, 1)</f>
        <v>0</v>
      </c>
      <c r="I9">
        <f>IF(C9= "yes", 1, 0)</f>
        <v>0</v>
      </c>
      <c r="J9">
        <v>37</v>
      </c>
      <c r="K9">
        <v>27.74</v>
      </c>
      <c r="L9">
        <v>3</v>
      </c>
      <c r="M9">
        <v>7281.5056000000004</v>
      </c>
      <c r="O9" s="2" t="s">
        <v>21</v>
      </c>
      <c r="P9" s="2">
        <v>1338</v>
      </c>
    </row>
    <row r="10" spans="1:20" x14ac:dyDescent="0.35">
      <c r="A10" t="s">
        <v>14</v>
      </c>
      <c r="B10" t="s">
        <v>10</v>
      </c>
      <c r="C10" t="s">
        <v>11</v>
      </c>
      <c r="H10">
        <f>IF(B10="female", 0, 1)</f>
        <v>1</v>
      </c>
      <c r="I10">
        <f>IF(C10= "yes", 1, 0)</f>
        <v>0</v>
      </c>
      <c r="J10">
        <v>37</v>
      </c>
      <c r="K10">
        <v>29.83</v>
      </c>
      <c r="L10">
        <v>2</v>
      </c>
      <c r="M10">
        <v>6406.4107000000004</v>
      </c>
    </row>
    <row r="11" spans="1:20" ht="15" thickBot="1" x14ac:dyDescent="0.4">
      <c r="A11" t="s">
        <v>13</v>
      </c>
      <c r="B11" t="s">
        <v>7</v>
      </c>
      <c r="C11" t="s">
        <v>11</v>
      </c>
      <c r="H11">
        <f>IF(B11="female", 0, 1)</f>
        <v>0</v>
      </c>
      <c r="I11">
        <f>IF(C11= "yes", 1, 0)</f>
        <v>0</v>
      </c>
      <c r="J11">
        <v>60</v>
      </c>
      <c r="K11">
        <v>25.84</v>
      </c>
      <c r="L11">
        <v>0</v>
      </c>
      <c r="M11">
        <v>28923.136920000001</v>
      </c>
      <c r="O11" t="s">
        <v>22</v>
      </c>
    </row>
    <row r="12" spans="1:20" x14ac:dyDescent="0.35">
      <c r="A12" t="s">
        <v>14</v>
      </c>
      <c r="B12" t="s">
        <v>10</v>
      </c>
      <c r="C12" t="s">
        <v>11</v>
      </c>
      <c r="H12">
        <f>IF(B12="female", 0, 1)</f>
        <v>1</v>
      </c>
      <c r="I12">
        <f>IF(C12= "yes", 1, 0)</f>
        <v>0</v>
      </c>
      <c r="J12">
        <v>25</v>
      </c>
      <c r="K12">
        <v>26.22</v>
      </c>
      <c r="L12">
        <v>0</v>
      </c>
      <c r="M12">
        <v>2721.3208</v>
      </c>
      <c r="O12" s="3"/>
      <c r="P12" s="3" t="s">
        <v>27</v>
      </c>
      <c r="Q12" s="3" t="s">
        <v>28</v>
      </c>
      <c r="R12" s="3" t="s">
        <v>29</v>
      </c>
      <c r="S12" s="7" t="s">
        <v>30</v>
      </c>
      <c r="T12" s="7" t="s">
        <v>38</v>
      </c>
    </row>
    <row r="13" spans="1:20" x14ac:dyDescent="0.35">
      <c r="A13" t="s">
        <v>12</v>
      </c>
      <c r="B13" t="s">
        <v>7</v>
      </c>
      <c r="C13" t="s">
        <v>8</v>
      </c>
      <c r="H13">
        <f>IF(B13="female", 0, 1)</f>
        <v>0</v>
      </c>
      <c r="I13">
        <f>IF(C13= "yes", 1, 0)</f>
        <v>1</v>
      </c>
      <c r="J13">
        <v>62</v>
      </c>
      <c r="K13">
        <v>26.29</v>
      </c>
      <c r="L13">
        <v>0</v>
      </c>
      <c r="M13">
        <v>27808.7251</v>
      </c>
      <c r="O13" s="1" t="s">
        <v>23</v>
      </c>
      <c r="P13" s="1">
        <v>3</v>
      </c>
      <c r="Q13" s="1">
        <v>23548160245.891266</v>
      </c>
      <c r="R13" s="1">
        <v>7849386748.6304216</v>
      </c>
      <c r="S13" s="5">
        <v>60.692754720117613</v>
      </c>
      <c r="T13" s="5">
        <v>8.8005439359319123E-37</v>
      </c>
    </row>
    <row r="14" spans="1:20" x14ac:dyDescent="0.35">
      <c r="A14" t="s">
        <v>9</v>
      </c>
      <c r="B14" t="s">
        <v>10</v>
      </c>
      <c r="C14" t="s">
        <v>11</v>
      </c>
      <c r="H14">
        <f>IF(B14="female", 0, 1)</f>
        <v>1</v>
      </c>
      <c r="I14">
        <f>IF(C14= "yes", 1, 0)</f>
        <v>0</v>
      </c>
      <c r="J14">
        <v>23</v>
      </c>
      <c r="K14">
        <v>34.4</v>
      </c>
      <c r="L14">
        <v>0</v>
      </c>
      <c r="M14">
        <v>1826.8430000000001</v>
      </c>
      <c r="O14" s="1" t="s">
        <v>24</v>
      </c>
      <c r="P14" s="1">
        <v>1334</v>
      </c>
      <c r="Q14" s="1">
        <v>172526061322.47562</v>
      </c>
      <c r="R14" s="1">
        <v>129329881.05133104</v>
      </c>
      <c r="S14" s="1"/>
      <c r="T14" s="1"/>
    </row>
    <row r="15" spans="1:20" ht="15" thickBot="1" x14ac:dyDescent="0.4">
      <c r="A15" t="s">
        <v>12</v>
      </c>
      <c r="B15" t="s">
        <v>7</v>
      </c>
      <c r="C15" t="s">
        <v>11</v>
      </c>
      <c r="H15">
        <f>IF(B15="female", 0, 1)</f>
        <v>0</v>
      </c>
      <c r="I15">
        <f>IF(C15= "yes", 1, 0)</f>
        <v>0</v>
      </c>
      <c r="J15">
        <v>56</v>
      </c>
      <c r="K15">
        <v>39.82</v>
      </c>
      <c r="L15">
        <v>0</v>
      </c>
      <c r="M15">
        <v>11090.7178</v>
      </c>
      <c r="O15" s="2" t="s">
        <v>25</v>
      </c>
      <c r="P15" s="2">
        <v>1337</v>
      </c>
      <c r="Q15" s="2">
        <v>196074221568.36688</v>
      </c>
      <c r="R15" s="2"/>
      <c r="S15" s="2"/>
      <c r="T15" s="2"/>
    </row>
    <row r="16" spans="1:20" ht="15" thickBot="1" x14ac:dyDescent="0.4">
      <c r="A16" t="s">
        <v>12</v>
      </c>
      <c r="B16" t="s">
        <v>10</v>
      </c>
      <c r="C16" t="s">
        <v>8</v>
      </c>
      <c r="H16">
        <f>IF(B16="female", 0, 1)</f>
        <v>1</v>
      </c>
      <c r="I16">
        <f>IF(C16= "yes", 1, 0)</f>
        <v>1</v>
      </c>
      <c r="J16">
        <v>27</v>
      </c>
      <c r="K16">
        <v>42.13</v>
      </c>
      <c r="L16">
        <v>0</v>
      </c>
      <c r="M16">
        <v>39611.757700000002</v>
      </c>
    </row>
    <row r="17" spans="1:23" x14ac:dyDescent="0.35">
      <c r="A17" t="s">
        <v>9</v>
      </c>
      <c r="B17" t="s">
        <v>10</v>
      </c>
      <c r="C17" t="s">
        <v>11</v>
      </c>
      <c r="H17">
        <f>IF(B17="female", 0, 1)</f>
        <v>1</v>
      </c>
      <c r="I17">
        <f>IF(C17= "yes", 1, 0)</f>
        <v>0</v>
      </c>
      <c r="J17">
        <v>19</v>
      </c>
      <c r="K17">
        <v>24.6</v>
      </c>
      <c r="L17">
        <v>1</v>
      </c>
      <c r="M17">
        <v>1837.2370000000001</v>
      </c>
      <c r="O17" s="3"/>
      <c r="P17" s="3" t="s">
        <v>31</v>
      </c>
      <c r="Q17" s="3" t="s">
        <v>20</v>
      </c>
      <c r="R17" s="3" t="s">
        <v>32</v>
      </c>
      <c r="S17" s="3" t="s">
        <v>33</v>
      </c>
      <c r="T17" s="3" t="s">
        <v>34</v>
      </c>
      <c r="U17" s="3" t="s">
        <v>35</v>
      </c>
      <c r="V17" s="3" t="s">
        <v>36</v>
      </c>
      <c r="W17" s="3" t="s">
        <v>37</v>
      </c>
    </row>
    <row r="18" spans="1:23" x14ac:dyDescent="0.35">
      <c r="A18" t="s">
        <v>14</v>
      </c>
      <c r="B18" t="s">
        <v>7</v>
      </c>
      <c r="C18" t="s">
        <v>11</v>
      </c>
      <c r="H18">
        <f>IF(B18="female", 0, 1)</f>
        <v>0</v>
      </c>
      <c r="I18">
        <f>IF(C18= "yes", 1, 0)</f>
        <v>0</v>
      </c>
      <c r="J18">
        <v>52</v>
      </c>
      <c r="K18">
        <v>30.78</v>
      </c>
      <c r="L18">
        <v>1</v>
      </c>
      <c r="M18">
        <v>10797.3362</v>
      </c>
      <c r="O18" s="1" t="s">
        <v>26</v>
      </c>
      <c r="P18" s="1">
        <v>-6916.2433477870409</v>
      </c>
      <c r="Q18" s="1">
        <v>1757.4796708129052</v>
      </c>
      <c r="R18" s="1">
        <v>-3.9353191178524414</v>
      </c>
      <c r="S18" s="1">
        <v>8.7368124025759085E-5</v>
      </c>
      <c r="T18" s="1">
        <v>-10363.968346688749</v>
      </c>
      <c r="U18" s="1">
        <v>-3468.5183488853331</v>
      </c>
      <c r="V18" s="1">
        <v>-10363.968346688749</v>
      </c>
      <c r="W18" s="1">
        <v>-3468.5183488853331</v>
      </c>
    </row>
    <row r="19" spans="1:23" x14ac:dyDescent="0.35">
      <c r="A19" t="s">
        <v>14</v>
      </c>
      <c r="B19" t="s">
        <v>10</v>
      </c>
      <c r="C19" t="s">
        <v>11</v>
      </c>
      <c r="H19">
        <f>IF(B19="female", 0, 1)</f>
        <v>1</v>
      </c>
      <c r="I19">
        <f>IF(C19= "yes", 1, 0)</f>
        <v>0</v>
      </c>
      <c r="J19">
        <v>23</v>
      </c>
      <c r="K19">
        <v>23.844999999999999</v>
      </c>
      <c r="L19">
        <v>0</v>
      </c>
      <c r="M19">
        <v>2395.17155</v>
      </c>
      <c r="O19" s="5" t="s">
        <v>0</v>
      </c>
      <c r="P19" s="5">
        <v>239.99447429364588</v>
      </c>
      <c r="Q19" s="1">
        <v>22.288878408751419</v>
      </c>
      <c r="R19" s="5">
        <v>10.767454059034904</v>
      </c>
      <c r="S19" s="5">
        <v>5.5339233266701308E-26</v>
      </c>
      <c r="T19" s="1">
        <v>196.26940335055585</v>
      </c>
      <c r="U19" s="1">
        <v>283.71954523673588</v>
      </c>
      <c r="V19" s="1">
        <v>196.26940335055585</v>
      </c>
      <c r="W19" s="1">
        <v>283.71954523673588</v>
      </c>
    </row>
    <row r="20" spans="1:23" x14ac:dyDescent="0.35">
      <c r="A20" t="s">
        <v>9</v>
      </c>
      <c r="B20" t="s">
        <v>10</v>
      </c>
      <c r="C20" t="s">
        <v>11</v>
      </c>
      <c r="H20">
        <f>IF(B20="female", 0, 1)</f>
        <v>1</v>
      </c>
      <c r="I20">
        <f>IF(C20= "yes", 1, 0)</f>
        <v>0</v>
      </c>
      <c r="J20">
        <v>56</v>
      </c>
      <c r="K20">
        <v>40.299999999999997</v>
      </c>
      <c r="L20">
        <v>0</v>
      </c>
      <c r="M20">
        <v>10602.385</v>
      </c>
      <c r="O20" s="5" t="s">
        <v>2</v>
      </c>
      <c r="P20" s="5">
        <v>332.08336450344888</v>
      </c>
      <c r="Q20" s="1">
        <v>51.310462750213823</v>
      </c>
      <c r="R20" s="5">
        <v>6.4720399447589276</v>
      </c>
      <c r="S20" s="5">
        <v>1.3548815453171898E-10</v>
      </c>
      <c r="T20" s="1">
        <v>231.42537791786199</v>
      </c>
      <c r="U20" s="1">
        <v>432.74135108903579</v>
      </c>
      <c r="V20" s="1">
        <v>231.42537791786199</v>
      </c>
      <c r="W20" s="1">
        <v>432.74135108903579</v>
      </c>
    </row>
    <row r="21" spans="1:23" ht="15" thickBot="1" x14ac:dyDescent="0.4">
      <c r="A21" t="s">
        <v>9</v>
      </c>
      <c r="B21" t="s">
        <v>10</v>
      </c>
      <c r="C21" t="s">
        <v>8</v>
      </c>
      <c r="H21">
        <f>IF(B21="female", 0, 1)</f>
        <v>1</v>
      </c>
      <c r="I21">
        <f>IF(C21= "yes", 1, 0)</f>
        <v>1</v>
      </c>
      <c r="J21">
        <v>30</v>
      </c>
      <c r="K21">
        <v>35.299999999999997</v>
      </c>
      <c r="L21">
        <v>0</v>
      </c>
      <c r="M21">
        <v>36837.466999999997</v>
      </c>
      <c r="O21" s="6" t="s">
        <v>3</v>
      </c>
      <c r="P21" s="6">
        <v>542.86465224701976</v>
      </c>
      <c r="Q21" s="2">
        <v>258.24127125909274</v>
      </c>
      <c r="R21" s="6">
        <v>2.1021607026646225</v>
      </c>
      <c r="S21" s="6">
        <v>3.5726254963797235E-2</v>
      </c>
      <c r="T21" s="2">
        <v>36.261417254087689</v>
      </c>
      <c r="U21" s="2">
        <v>1049.4678872399518</v>
      </c>
      <c r="V21" s="2">
        <v>36.261417254087689</v>
      </c>
      <c r="W21" s="2">
        <v>1049.4678872399518</v>
      </c>
    </row>
    <row r="22" spans="1:23" x14ac:dyDescent="0.35">
      <c r="A22" t="s">
        <v>14</v>
      </c>
      <c r="B22" t="s">
        <v>7</v>
      </c>
      <c r="C22" t="s">
        <v>11</v>
      </c>
      <c r="H22">
        <f>IF(B22="female", 0, 1)</f>
        <v>0</v>
      </c>
      <c r="I22">
        <f>IF(C22= "yes", 1, 0)</f>
        <v>0</v>
      </c>
      <c r="J22">
        <v>60</v>
      </c>
      <c r="K22">
        <v>36.005000000000003</v>
      </c>
      <c r="L22">
        <v>0</v>
      </c>
      <c r="M22">
        <v>13228.846949999999</v>
      </c>
    </row>
    <row r="23" spans="1:23" x14ac:dyDescent="0.35">
      <c r="A23" t="s">
        <v>9</v>
      </c>
      <c r="B23" t="s">
        <v>7</v>
      </c>
      <c r="C23" t="s">
        <v>11</v>
      </c>
      <c r="H23">
        <f>IF(B23="female", 0, 1)</f>
        <v>0</v>
      </c>
      <c r="I23">
        <f>IF(C23= "yes", 1, 0)</f>
        <v>0</v>
      </c>
      <c r="J23">
        <v>30</v>
      </c>
      <c r="K23">
        <v>32.4</v>
      </c>
      <c r="L23">
        <v>1</v>
      </c>
      <c r="M23">
        <v>4149.7359999999999</v>
      </c>
      <c r="O23" s="5" t="s">
        <v>39</v>
      </c>
    </row>
    <row r="24" spans="1:23" x14ac:dyDescent="0.35">
      <c r="A24" t="s">
        <v>12</v>
      </c>
      <c r="B24" t="s">
        <v>10</v>
      </c>
      <c r="C24" t="s">
        <v>11</v>
      </c>
      <c r="H24">
        <f>IF(B24="female", 0, 1)</f>
        <v>1</v>
      </c>
      <c r="I24">
        <f>IF(C24= "yes", 1, 0)</f>
        <v>0</v>
      </c>
      <c r="J24">
        <v>18</v>
      </c>
      <c r="K24">
        <v>34.1</v>
      </c>
      <c r="L24">
        <v>0</v>
      </c>
      <c r="M24">
        <v>1137.011</v>
      </c>
      <c r="P24" t="s">
        <v>40</v>
      </c>
      <c r="Q24" t="s">
        <v>41</v>
      </c>
      <c r="R24" t="s">
        <v>42</v>
      </c>
      <c r="S24" t="s">
        <v>43</v>
      </c>
      <c r="T24" t="s">
        <v>44</v>
      </c>
      <c r="U24" t="s">
        <v>45</v>
      </c>
      <c r="V24" t="s">
        <v>49</v>
      </c>
    </row>
    <row r="25" spans="1:23" ht="15" thickBot="1" x14ac:dyDescent="0.4">
      <c r="A25" t="s">
        <v>14</v>
      </c>
      <c r="B25" t="s">
        <v>7</v>
      </c>
      <c r="C25" t="s">
        <v>8</v>
      </c>
      <c r="H25">
        <f>IF(B25="female", 0, 1)</f>
        <v>0</v>
      </c>
      <c r="I25">
        <f>IF(C25= "yes", 1, 0)</f>
        <v>1</v>
      </c>
      <c r="J25">
        <v>34</v>
      </c>
      <c r="K25">
        <v>31.92</v>
      </c>
      <c r="L25">
        <v>1</v>
      </c>
      <c r="M25">
        <v>37701.876799999998</v>
      </c>
      <c r="N25" s="8" t="s">
        <v>46</v>
      </c>
      <c r="O25" s="9">
        <f>(P25*Q25)+(R25*S25)+(T25+U25)+V25</f>
        <v>3887.7502064719201</v>
      </c>
      <c r="P25" s="10">
        <v>239.99447429364588</v>
      </c>
      <c r="Q25">
        <v>22</v>
      </c>
      <c r="R25" s="5">
        <v>332.08336450344888</v>
      </c>
      <c r="S25">
        <v>15</v>
      </c>
      <c r="T25" s="11">
        <v>542.86465224701976</v>
      </c>
      <c r="U25">
        <v>0</v>
      </c>
      <c r="V25" s="12">
        <v>-6916.2433477870409</v>
      </c>
    </row>
    <row r="26" spans="1:23" ht="15" thickBot="1" x14ac:dyDescent="0.4">
      <c r="A26" t="s">
        <v>13</v>
      </c>
      <c r="B26" t="s">
        <v>10</v>
      </c>
      <c r="C26" t="s">
        <v>11</v>
      </c>
      <c r="H26">
        <f>IF(B26="female", 0, 1)</f>
        <v>1</v>
      </c>
      <c r="I26">
        <f>IF(C26= "yes", 1, 0)</f>
        <v>0</v>
      </c>
      <c r="J26">
        <v>37</v>
      </c>
      <c r="K26">
        <v>28.024999999999999</v>
      </c>
      <c r="L26">
        <v>2</v>
      </c>
      <c r="M26">
        <v>6203.90175</v>
      </c>
      <c r="N26" s="8" t="s">
        <v>47</v>
      </c>
      <c r="O26" s="9">
        <f>(P26*Q26)+(R26*S26)+(T26+U26)+V26</f>
        <v>12731.456760260266</v>
      </c>
      <c r="P26" s="10">
        <v>239.99447429364588</v>
      </c>
      <c r="Q26">
        <v>45</v>
      </c>
      <c r="R26" s="5">
        <v>332.08336450344888</v>
      </c>
      <c r="S26">
        <v>25</v>
      </c>
      <c r="T26" s="11">
        <v>542.86465224701976</v>
      </c>
      <c r="U26">
        <v>3</v>
      </c>
      <c r="V26" s="12">
        <v>-6916.2433477870409</v>
      </c>
    </row>
    <row r="27" spans="1:23" ht="15" thickBot="1" x14ac:dyDescent="0.4">
      <c r="A27" t="s">
        <v>12</v>
      </c>
      <c r="B27" t="s">
        <v>7</v>
      </c>
      <c r="C27" t="s">
        <v>11</v>
      </c>
      <c r="H27">
        <f>IF(B27="female", 0, 1)</f>
        <v>0</v>
      </c>
      <c r="I27">
        <f>IF(C27= "yes", 1, 0)</f>
        <v>0</v>
      </c>
      <c r="J27">
        <v>59</v>
      </c>
      <c r="K27">
        <v>27.72</v>
      </c>
      <c r="L27">
        <v>3</v>
      </c>
      <c r="M27">
        <v>14001.1338</v>
      </c>
      <c r="N27" s="8" t="s">
        <v>48</v>
      </c>
      <c r="O27" s="9">
        <f t="shared" ref="O27" si="0">(P27*Q27)+(R27*S27)+(T27+U27)+V27</f>
        <v>21593.707811586886</v>
      </c>
      <c r="P27" s="10">
        <v>239.99447429364588</v>
      </c>
      <c r="Q27">
        <v>75</v>
      </c>
      <c r="R27" s="5">
        <v>332.08336450344888</v>
      </c>
      <c r="S27">
        <v>30</v>
      </c>
      <c r="T27" s="11">
        <v>542.86465224701976</v>
      </c>
      <c r="U27">
        <v>5</v>
      </c>
      <c r="V27" s="12">
        <v>-6916.2433477870409</v>
      </c>
    </row>
    <row r="28" spans="1:23" x14ac:dyDescent="0.35">
      <c r="A28" t="s">
        <v>14</v>
      </c>
      <c r="B28" t="s">
        <v>7</v>
      </c>
      <c r="C28" t="s">
        <v>11</v>
      </c>
      <c r="H28">
        <f>IF(B28="female", 0, 1)</f>
        <v>0</v>
      </c>
      <c r="I28">
        <f>IF(C28= "yes", 1, 0)</f>
        <v>0</v>
      </c>
      <c r="J28">
        <v>63</v>
      </c>
      <c r="K28">
        <v>23.085000000000001</v>
      </c>
      <c r="L28">
        <v>0</v>
      </c>
      <c r="M28">
        <v>14451.835150000001</v>
      </c>
    </row>
    <row r="29" spans="1:23" x14ac:dyDescent="0.35">
      <c r="A29" t="s">
        <v>13</v>
      </c>
      <c r="B29" t="s">
        <v>7</v>
      </c>
      <c r="C29" t="s">
        <v>11</v>
      </c>
      <c r="H29">
        <f>IF(B29="female", 0, 1)</f>
        <v>0</v>
      </c>
      <c r="I29">
        <f>IF(C29= "yes", 1, 0)</f>
        <v>0</v>
      </c>
      <c r="J29">
        <v>55</v>
      </c>
      <c r="K29">
        <v>32.774999999999999</v>
      </c>
      <c r="L29">
        <v>2</v>
      </c>
      <c r="M29">
        <v>12268.632250000001</v>
      </c>
    </row>
    <row r="30" spans="1:23" x14ac:dyDescent="0.35">
      <c r="A30" t="s">
        <v>13</v>
      </c>
      <c r="B30" t="s">
        <v>10</v>
      </c>
      <c r="C30" t="s">
        <v>11</v>
      </c>
      <c r="H30">
        <f>IF(B30="female", 0, 1)</f>
        <v>1</v>
      </c>
      <c r="I30">
        <f>IF(C30= "yes", 1, 0)</f>
        <v>0</v>
      </c>
      <c r="J30">
        <v>23</v>
      </c>
      <c r="K30">
        <v>17.385000000000002</v>
      </c>
      <c r="L30">
        <v>1</v>
      </c>
      <c r="M30">
        <v>2775.1921499999999</v>
      </c>
    </row>
    <row r="31" spans="1:23" x14ac:dyDescent="0.35">
      <c r="A31" t="s">
        <v>9</v>
      </c>
      <c r="B31" t="s">
        <v>10</v>
      </c>
      <c r="C31" t="s">
        <v>8</v>
      </c>
      <c r="H31">
        <f>IF(B31="female", 0, 1)</f>
        <v>1</v>
      </c>
      <c r="I31">
        <f>IF(C31= "yes", 1, 0)</f>
        <v>1</v>
      </c>
      <c r="J31">
        <v>31</v>
      </c>
      <c r="K31">
        <v>36.299999999999997</v>
      </c>
      <c r="L31">
        <v>2</v>
      </c>
      <c r="M31">
        <v>38711</v>
      </c>
    </row>
    <row r="32" spans="1:23" x14ac:dyDescent="0.35">
      <c r="A32" t="s">
        <v>9</v>
      </c>
      <c r="B32" t="s">
        <v>10</v>
      </c>
      <c r="C32" t="s">
        <v>8</v>
      </c>
      <c r="H32">
        <f>IF(B32="female", 0, 1)</f>
        <v>1</v>
      </c>
      <c r="I32">
        <f>IF(C32= "yes", 1, 0)</f>
        <v>1</v>
      </c>
      <c r="J32">
        <v>22</v>
      </c>
      <c r="K32">
        <v>35.6</v>
      </c>
      <c r="L32">
        <v>0</v>
      </c>
      <c r="M32">
        <v>35585.576000000001</v>
      </c>
    </row>
    <row r="33" spans="1:13" x14ac:dyDescent="0.35">
      <c r="A33" t="s">
        <v>14</v>
      </c>
      <c r="B33" t="s">
        <v>7</v>
      </c>
      <c r="C33" t="s">
        <v>11</v>
      </c>
      <c r="H33">
        <f>IF(B33="female", 0, 1)</f>
        <v>0</v>
      </c>
      <c r="I33">
        <f>IF(C33= "yes", 1, 0)</f>
        <v>0</v>
      </c>
      <c r="J33">
        <v>18</v>
      </c>
      <c r="K33">
        <v>26.315000000000001</v>
      </c>
      <c r="L33">
        <v>0</v>
      </c>
      <c r="M33">
        <v>2198.1898500000002</v>
      </c>
    </row>
    <row r="34" spans="1:13" x14ac:dyDescent="0.35">
      <c r="A34" t="s">
        <v>9</v>
      </c>
      <c r="B34" t="s">
        <v>7</v>
      </c>
      <c r="C34" t="s">
        <v>11</v>
      </c>
      <c r="H34">
        <f>IF(B34="female", 0, 1)</f>
        <v>0</v>
      </c>
      <c r="I34">
        <f>IF(C34= "yes", 1, 0)</f>
        <v>0</v>
      </c>
      <c r="J34">
        <v>19</v>
      </c>
      <c r="K34">
        <v>28.6</v>
      </c>
      <c r="L34">
        <v>5</v>
      </c>
      <c r="M34">
        <v>4687.7969999999996</v>
      </c>
    </row>
    <row r="35" spans="1:13" x14ac:dyDescent="0.35">
      <c r="A35" t="s">
        <v>13</v>
      </c>
      <c r="B35" t="s">
        <v>10</v>
      </c>
      <c r="C35" t="s">
        <v>11</v>
      </c>
      <c r="H35">
        <f>IF(B35="female", 0, 1)</f>
        <v>1</v>
      </c>
      <c r="I35">
        <f>IF(C35= "yes", 1, 0)</f>
        <v>0</v>
      </c>
      <c r="J35">
        <v>63</v>
      </c>
      <c r="K35">
        <v>28.31</v>
      </c>
      <c r="L35">
        <v>0</v>
      </c>
      <c r="M35">
        <v>13770.097900000001</v>
      </c>
    </row>
    <row r="36" spans="1:13" x14ac:dyDescent="0.35">
      <c r="A36" t="s">
        <v>9</v>
      </c>
      <c r="B36" t="s">
        <v>10</v>
      </c>
      <c r="C36" t="s">
        <v>8</v>
      </c>
      <c r="H36">
        <f>IF(B36="female", 0, 1)</f>
        <v>1</v>
      </c>
      <c r="I36">
        <f>IF(C36= "yes", 1, 0)</f>
        <v>1</v>
      </c>
      <c r="J36">
        <v>28</v>
      </c>
      <c r="K36">
        <v>36.4</v>
      </c>
      <c r="L36">
        <v>1</v>
      </c>
      <c r="M36">
        <v>51194.559139999998</v>
      </c>
    </row>
    <row r="37" spans="1:13" x14ac:dyDescent="0.35">
      <c r="A37" t="s">
        <v>13</v>
      </c>
      <c r="B37" t="s">
        <v>10</v>
      </c>
      <c r="C37" t="s">
        <v>11</v>
      </c>
      <c r="H37">
        <f>IF(B37="female", 0, 1)</f>
        <v>1</v>
      </c>
      <c r="I37">
        <f>IF(C37= "yes", 1, 0)</f>
        <v>0</v>
      </c>
      <c r="J37">
        <v>19</v>
      </c>
      <c r="K37">
        <v>20.425000000000001</v>
      </c>
      <c r="L37">
        <v>0</v>
      </c>
      <c r="M37">
        <v>1625.4337499999999</v>
      </c>
    </row>
    <row r="38" spans="1:13" x14ac:dyDescent="0.35">
      <c r="A38" t="s">
        <v>13</v>
      </c>
      <c r="B38" t="s">
        <v>7</v>
      </c>
      <c r="C38" t="s">
        <v>11</v>
      </c>
      <c r="H38">
        <f>IF(B38="female", 0, 1)</f>
        <v>0</v>
      </c>
      <c r="I38">
        <f>IF(C38= "yes", 1, 0)</f>
        <v>0</v>
      </c>
      <c r="J38">
        <v>62</v>
      </c>
      <c r="K38">
        <v>32.965000000000003</v>
      </c>
      <c r="L38">
        <v>3</v>
      </c>
      <c r="M38">
        <v>15612.19335</v>
      </c>
    </row>
    <row r="39" spans="1:13" x14ac:dyDescent="0.35">
      <c r="A39" t="s">
        <v>9</v>
      </c>
      <c r="B39" t="s">
        <v>10</v>
      </c>
      <c r="C39" t="s">
        <v>11</v>
      </c>
      <c r="H39">
        <f>IF(B39="female", 0, 1)</f>
        <v>1</v>
      </c>
      <c r="I39">
        <f>IF(C39= "yes", 1, 0)</f>
        <v>0</v>
      </c>
      <c r="J39">
        <v>26</v>
      </c>
      <c r="K39">
        <v>20.8</v>
      </c>
      <c r="L39">
        <v>0</v>
      </c>
      <c r="M39">
        <v>2302.3000000000002</v>
      </c>
    </row>
    <row r="40" spans="1:13" x14ac:dyDescent="0.35">
      <c r="A40" t="s">
        <v>14</v>
      </c>
      <c r="B40" t="s">
        <v>10</v>
      </c>
      <c r="C40" t="s">
        <v>8</v>
      </c>
      <c r="H40">
        <f>IF(B40="female", 0, 1)</f>
        <v>1</v>
      </c>
      <c r="I40">
        <f>IF(C40= "yes", 1, 0)</f>
        <v>1</v>
      </c>
      <c r="J40">
        <v>35</v>
      </c>
      <c r="K40">
        <v>36.67</v>
      </c>
      <c r="L40">
        <v>1</v>
      </c>
      <c r="M40">
        <v>39774.276299999998</v>
      </c>
    </row>
    <row r="41" spans="1:13" x14ac:dyDescent="0.35">
      <c r="A41" t="s">
        <v>9</v>
      </c>
      <c r="B41" t="s">
        <v>10</v>
      </c>
      <c r="C41" t="s">
        <v>8</v>
      </c>
      <c r="H41">
        <f>IF(B41="female", 0, 1)</f>
        <v>1</v>
      </c>
      <c r="I41">
        <f>IF(C41= "yes", 1, 0)</f>
        <v>1</v>
      </c>
      <c r="J41">
        <v>60</v>
      </c>
      <c r="K41">
        <v>39.9</v>
      </c>
      <c r="L41">
        <v>0</v>
      </c>
      <c r="M41">
        <v>48173.360999999997</v>
      </c>
    </row>
    <row r="42" spans="1:13" x14ac:dyDescent="0.35">
      <c r="A42" t="s">
        <v>14</v>
      </c>
      <c r="B42" t="s">
        <v>7</v>
      </c>
      <c r="C42" t="s">
        <v>11</v>
      </c>
      <c r="H42">
        <f>IF(B42="female", 0, 1)</f>
        <v>0</v>
      </c>
      <c r="I42">
        <f>IF(C42= "yes", 1, 0)</f>
        <v>0</v>
      </c>
      <c r="J42">
        <v>24</v>
      </c>
      <c r="K42">
        <v>26.6</v>
      </c>
      <c r="L42">
        <v>0</v>
      </c>
      <c r="M42">
        <v>3046.0619999999999</v>
      </c>
    </row>
    <row r="43" spans="1:13" x14ac:dyDescent="0.35">
      <c r="A43" t="s">
        <v>12</v>
      </c>
      <c r="B43" t="s">
        <v>7</v>
      </c>
      <c r="C43" t="s">
        <v>11</v>
      </c>
      <c r="H43">
        <f>IF(B43="female", 0, 1)</f>
        <v>0</v>
      </c>
      <c r="I43">
        <f>IF(C43= "yes", 1, 0)</f>
        <v>0</v>
      </c>
      <c r="J43">
        <v>31</v>
      </c>
      <c r="K43">
        <v>36.630000000000003</v>
      </c>
      <c r="L43">
        <v>2</v>
      </c>
      <c r="M43">
        <v>4949.7587000000003</v>
      </c>
    </row>
    <row r="44" spans="1:13" x14ac:dyDescent="0.35">
      <c r="A44" t="s">
        <v>12</v>
      </c>
      <c r="B44" t="s">
        <v>10</v>
      </c>
      <c r="C44" t="s">
        <v>11</v>
      </c>
      <c r="H44">
        <f>IF(B44="female", 0, 1)</f>
        <v>1</v>
      </c>
      <c r="I44">
        <f>IF(C44= "yes", 1, 0)</f>
        <v>0</v>
      </c>
      <c r="J44">
        <v>41</v>
      </c>
      <c r="K44">
        <v>21.78</v>
      </c>
      <c r="L44">
        <v>1</v>
      </c>
      <c r="M44">
        <v>6272.4772000000003</v>
      </c>
    </row>
    <row r="45" spans="1:13" x14ac:dyDescent="0.35">
      <c r="A45" t="s">
        <v>12</v>
      </c>
      <c r="B45" t="s">
        <v>7</v>
      </c>
      <c r="C45" t="s">
        <v>11</v>
      </c>
      <c r="H45">
        <f>IF(B45="female", 0, 1)</f>
        <v>0</v>
      </c>
      <c r="I45">
        <f>IF(C45= "yes", 1, 0)</f>
        <v>0</v>
      </c>
      <c r="J45">
        <v>37</v>
      </c>
      <c r="K45">
        <v>30.8</v>
      </c>
      <c r="L45">
        <v>2</v>
      </c>
      <c r="M45">
        <v>6313.759</v>
      </c>
    </row>
    <row r="46" spans="1:13" x14ac:dyDescent="0.35">
      <c r="A46" t="s">
        <v>14</v>
      </c>
      <c r="B46" t="s">
        <v>10</v>
      </c>
      <c r="C46" t="s">
        <v>11</v>
      </c>
      <c r="H46">
        <f>IF(B46="female", 0, 1)</f>
        <v>1</v>
      </c>
      <c r="I46">
        <f>IF(C46= "yes", 1, 0)</f>
        <v>0</v>
      </c>
      <c r="J46">
        <v>38</v>
      </c>
      <c r="K46">
        <v>37.049999999999997</v>
      </c>
      <c r="L46">
        <v>1</v>
      </c>
      <c r="M46">
        <v>6079.6715000000004</v>
      </c>
    </row>
    <row r="47" spans="1:13" x14ac:dyDescent="0.35">
      <c r="A47" t="s">
        <v>9</v>
      </c>
      <c r="B47" t="s">
        <v>10</v>
      </c>
      <c r="C47" t="s">
        <v>11</v>
      </c>
      <c r="H47">
        <f>IF(B47="female", 0, 1)</f>
        <v>1</v>
      </c>
      <c r="I47">
        <f>IF(C47= "yes", 1, 0)</f>
        <v>0</v>
      </c>
      <c r="J47">
        <v>55</v>
      </c>
      <c r="K47">
        <v>37.299999999999997</v>
      </c>
      <c r="L47">
        <v>0</v>
      </c>
      <c r="M47">
        <v>20630.283510000001</v>
      </c>
    </row>
    <row r="48" spans="1:13" x14ac:dyDescent="0.35">
      <c r="A48" t="s">
        <v>14</v>
      </c>
      <c r="B48" t="s">
        <v>7</v>
      </c>
      <c r="C48" t="s">
        <v>11</v>
      </c>
      <c r="H48">
        <f>IF(B48="female", 0, 1)</f>
        <v>0</v>
      </c>
      <c r="I48">
        <f>IF(C48= "yes", 1, 0)</f>
        <v>0</v>
      </c>
      <c r="J48">
        <v>18</v>
      </c>
      <c r="K48">
        <v>38.664999999999999</v>
      </c>
      <c r="L48">
        <v>2</v>
      </c>
      <c r="M48">
        <v>3393.35635</v>
      </c>
    </row>
    <row r="49" spans="1:13" x14ac:dyDescent="0.35">
      <c r="A49" t="s">
        <v>13</v>
      </c>
      <c r="B49" t="s">
        <v>7</v>
      </c>
      <c r="C49" t="s">
        <v>11</v>
      </c>
      <c r="H49">
        <f>IF(B49="female", 0, 1)</f>
        <v>0</v>
      </c>
      <c r="I49">
        <f>IF(C49= "yes", 1, 0)</f>
        <v>0</v>
      </c>
      <c r="J49">
        <v>28</v>
      </c>
      <c r="K49">
        <v>34.770000000000003</v>
      </c>
      <c r="L49">
        <v>0</v>
      </c>
      <c r="M49">
        <v>3556.9223000000002</v>
      </c>
    </row>
    <row r="50" spans="1:13" x14ac:dyDescent="0.35">
      <c r="A50" t="s">
        <v>12</v>
      </c>
      <c r="B50" t="s">
        <v>7</v>
      </c>
      <c r="C50" t="s">
        <v>11</v>
      </c>
      <c r="H50">
        <f>IF(B50="female", 0, 1)</f>
        <v>0</v>
      </c>
      <c r="I50">
        <f>IF(C50= "yes", 1, 0)</f>
        <v>0</v>
      </c>
      <c r="J50">
        <v>60</v>
      </c>
      <c r="K50">
        <v>24.53</v>
      </c>
      <c r="L50">
        <v>0</v>
      </c>
      <c r="M50">
        <v>12629.896699999999</v>
      </c>
    </row>
    <row r="51" spans="1:13" x14ac:dyDescent="0.35">
      <c r="A51" t="s">
        <v>12</v>
      </c>
      <c r="B51" t="s">
        <v>10</v>
      </c>
      <c r="C51" t="s">
        <v>8</v>
      </c>
      <c r="H51">
        <f>IF(B51="female", 0, 1)</f>
        <v>1</v>
      </c>
      <c r="I51">
        <f>IF(C51= "yes", 1, 0)</f>
        <v>1</v>
      </c>
      <c r="J51">
        <v>36</v>
      </c>
      <c r="K51">
        <v>35.200000000000003</v>
      </c>
      <c r="L51">
        <v>1</v>
      </c>
      <c r="M51">
        <v>38709.175999999999</v>
      </c>
    </row>
    <row r="52" spans="1:13" x14ac:dyDescent="0.35">
      <c r="A52" t="s">
        <v>14</v>
      </c>
      <c r="B52" t="s">
        <v>7</v>
      </c>
      <c r="C52" t="s">
        <v>11</v>
      </c>
      <c r="H52">
        <f>IF(B52="female", 0, 1)</f>
        <v>0</v>
      </c>
      <c r="I52">
        <f>IF(C52= "yes", 1, 0)</f>
        <v>0</v>
      </c>
      <c r="J52">
        <v>18</v>
      </c>
      <c r="K52">
        <v>35.625</v>
      </c>
      <c r="L52">
        <v>0</v>
      </c>
      <c r="M52">
        <v>2211.1307499999998</v>
      </c>
    </row>
    <row r="53" spans="1:13" x14ac:dyDescent="0.35">
      <c r="A53" t="s">
        <v>13</v>
      </c>
      <c r="B53" t="s">
        <v>7</v>
      </c>
      <c r="C53" t="s">
        <v>11</v>
      </c>
      <c r="H53">
        <f>IF(B53="female", 0, 1)</f>
        <v>0</v>
      </c>
      <c r="I53">
        <f>IF(C53= "yes", 1, 0)</f>
        <v>0</v>
      </c>
      <c r="J53">
        <v>21</v>
      </c>
      <c r="K53">
        <v>33.630000000000003</v>
      </c>
      <c r="L53">
        <v>2</v>
      </c>
      <c r="M53">
        <v>3579.8287</v>
      </c>
    </row>
    <row r="54" spans="1:13" x14ac:dyDescent="0.35">
      <c r="A54" t="s">
        <v>9</v>
      </c>
      <c r="B54" t="s">
        <v>10</v>
      </c>
      <c r="C54" t="s">
        <v>8</v>
      </c>
      <c r="H54">
        <f>IF(B54="female", 0, 1)</f>
        <v>1</v>
      </c>
      <c r="I54">
        <f>IF(C54= "yes", 1, 0)</f>
        <v>1</v>
      </c>
      <c r="J54">
        <v>48</v>
      </c>
      <c r="K54">
        <v>28</v>
      </c>
      <c r="L54">
        <v>1</v>
      </c>
      <c r="M54">
        <v>23568.272000000001</v>
      </c>
    </row>
    <row r="55" spans="1:13" x14ac:dyDescent="0.35">
      <c r="A55" t="s">
        <v>12</v>
      </c>
      <c r="B55" t="s">
        <v>10</v>
      </c>
      <c r="C55" t="s">
        <v>8</v>
      </c>
      <c r="H55">
        <f>IF(B55="female", 0, 1)</f>
        <v>1</v>
      </c>
      <c r="I55">
        <f>IF(C55= "yes", 1, 0)</f>
        <v>1</v>
      </c>
      <c r="J55">
        <v>36</v>
      </c>
      <c r="K55">
        <v>34.43</v>
      </c>
      <c r="L55">
        <v>0</v>
      </c>
      <c r="M55">
        <v>37742.575700000001</v>
      </c>
    </row>
    <row r="56" spans="1:13" x14ac:dyDescent="0.35">
      <c r="A56" t="s">
        <v>13</v>
      </c>
      <c r="B56" t="s">
        <v>7</v>
      </c>
      <c r="C56" t="s">
        <v>11</v>
      </c>
      <c r="H56">
        <f>IF(B56="female", 0, 1)</f>
        <v>0</v>
      </c>
      <c r="I56">
        <f>IF(C56= "yes", 1, 0)</f>
        <v>0</v>
      </c>
      <c r="J56">
        <v>40</v>
      </c>
      <c r="K56">
        <v>28.69</v>
      </c>
      <c r="L56">
        <v>3</v>
      </c>
      <c r="M56">
        <v>8059.6791000000003</v>
      </c>
    </row>
    <row r="57" spans="1:13" x14ac:dyDescent="0.35">
      <c r="A57" t="s">
        <v>13</v>
      </c>
      <c r="B57" t="s">
        <v>10</v>
      </c>
      <c r="C57" t="s">
        <v>8</v>
      </c>
      <c r="H57">
        <f>IF(B57="female", 0, 1)</f>
        <v>1</v>
      </c>
      <c r="I57">
        <f>IF(C57= "yes", 1, 0)</f>
        <v>1</v>
      </c>
      <c r="J57">
        <v>58</v>
      </c>
      <c r="K57">
        <v>36.954999999999998</v>
      </c>
      <c r="L57">
        <v>2</v>
      </c>
      <c r="M57">
        <v>47496.494449999998</v>
      </c>
    </row>
    <row r="58" spans="1:13" x14ac:dyDescent="0.35">
      <c r="A58" t="s">
        <v>14</v>
      </c>
      <c r="B58" t="s">
        <v>7</v>
      </c>
      <c r="C58" t="s">
        <v>11</v>
      </c>
      <c r="H58">
        <f>IF(B58="female", 0, 1)</f>
        <v>0</v>
      </c>
      <c r="I58">
        <f>IF(C58= "yes", 1, 0)</f>
        <v>0</v>
      </c>
      <c r="J58">
        <v>58</v>
      </c>
      <c r="K58">
        <v>31.824999999999999</v>
      </c>
      <c r="L58">
        <v>2</v>
      </c>
      <c r="M58">
        <v>13607.36875</v>
      </c>
    </row>
    <row r="59" spans="1:13" x14ac:dyDescent="0.35">
      <c r="A59" t="s">
        <v>12</v>
      </c>
      <c r="B59" t="s">
        <v>10</v>
      </c>
      <c r="C59" t="s">
        <v>8</v>
      </c>
      <c r="H59">
        <f>IF(B59="female", 0, 1)</f>
        <v>1</v>
      </c>
      <c r="I59">
        <f>IF(C59= "yes", 1, 0)</f>
        <v>1</v>
      </c>
      <c r="J59">
        <v>18</v>
      </c>
      <c r="K59">
        <v>31.68</v>
      </c>
      <c r="L59">
        <v>2</v>
      </c>
      <c r="M59">
        <v>34303.167200000004</v>
      </c>
    </row>
    <row r="60" spans="1:13" x14ac:dyDescent="0.35">
      <c r="A60" t="s">
        <v>12</v>
      </c>
      <c r="B60" t="s">
        <v>7</v>
      </c>
      <c r="C60" t="s">
        <v>8</v>
      </c>
      <c r="H60">
        <f>IF(B60="female", 0, 1)</f>
        <v>0</v>
      </c>
      <c r="I60">
        <f>IF(C60= "yes", 1, 0)</f>
        <v>1</v>
      </c>
      <c r="J60">
        <v>53</v>
      </c>
      <c r="K60">
        <v>22.88</v>
      </c>
      <c r="L60">
        <v>1</v>
      </c>
      <c r="M60">
        <v>23244.790199999999</v>
      </c>
    </row>
    <row r="61" spans="1:13" x14ac:dyDescent="0.35">
      <c r="A61" t="s">
        <v>13</v>
      </c>
      <c r="B61" t="s">
        <v>7</v>
      </c>
      <c r="C61" t="s">
        <v>11</v>
      </c>
      <c r="H61">
        <f>IF(B61="female", 0, 1)</f>
        <v>0</v>
      </c>
      <c r="I61">
        <f>IF(C61= "yes", 1, 0)</f>
        <v>0</v>
      </c>
      <c r="J61">
        <v>34</v>
      </c>
      <c r="K61">
        <v>37.335000000000001</v>
      </c>
      <c r="L61">
        <v>2</v>
      </c>
      <c r="M61">
        <v>5989.5236500000001</v>
      </c>
    </row>
    <row r="62" spans="1:13" x14ac:dyDescent="0.35">
      <c r="A62" t="s">
        <v>14</v>
      </c>
      <c r="B62" t="s">
        <v>10</v>
      </c>
      <c r="C62" t="s">
        <v>11</v>
      </c>
      <c r="H62">
        <f>IF(B62="female", 0, 1)</f>
        <v>1</v>
      </c>
      <c r="I62">
        <f>IF(C62= "yes", 1, 0)</f>
        <v>0</v>
      </c>
      <c r="J62">
        <v>43</v>
      </c>
      <c r="K62">
        <v>27.36</v>
      </c>
      <c r="L62">
        <v>3</v>
      </c>
      <c r="M62">
        <v>8606.2173999999995</v>
      </c>
    </row>
    <row r="63" spans="1:13" x14ac:dyDescent="0.35">
      <c r="A63" t="s">
        <v>12</v>
      </c>
      <c r="B63" t="s">
        <v>10</v>
      </c>
      <c r="C63" t="s">
        <v>11</v>
      </c>
      <c r="H63">
        <f>IF(B63="female", 0, 1)</f>
        <v>1</v>
      </c>
      <c r="I63">
        <f>IF(C63= "yes", 1, 0)</f>
        <v>0</v>
      </c>
      <c r="J63">
        <v>25</v>
      </c>
      <c r="K63">
        <v>33.659999999999997</v>
      </c>
      <c r="L63">
        <v>4</v>
      </c>
      <c r="M63">
        <v>4504.6624000000002</v>
      </c>
    </row>
    <row r="64" spans="1:13" x14ac:dyDescent="0.35">
      <c r="A64" t="s">
        <v>13</v>
      </c>
      <c r="B64" t="s">
        <v>10</v>
      </c>
      <c r="C64" t="s">
        <v>11</v>
      </c>
      <c r="H64">
        <f>IF(B64="female", 0, 1)</f>
        <v>1</v>
      </c>
      <c r="I64">
        <f>IF(C64= "yes", 1, 0)</f>
        <v>0</v>
      </c>
      <c r="J64">
        <v>64</v>
      </c>
      <c r="K64">
        <v>24.7</v>
      </c>
      <c r="L64">
        <v>1</v>
      </c>
      <c r="M64">
        <v>30166.618170000002</v>
      </c>
    </row>
    <row r="65" spans="1:13" x14ac:dyDescent="0.35">
      <c r="A65" t="s">
        <v>13</v>
      </c>
      <c r="B65" t="s">
        <v>7</v>
      </c>
      <c r="C65" t="s">
        <v>11</v>
      </c>
      <c r="H65">
        <f>IF(B65="female", 0, 1)</f>
        <v>0</v>
      </c>
      <c r="I65">
        <f>IF(C65= "yes", 1, 0)</f>
        <v>0</v>
      </c>
      <c r="J65">
        <v>28</v>
      </c>
      <c r="K65">
        <v>25.934999999999999</v>
      </c>
      <c r="L65">
        <v>1</v>
      </c>
      <c r="M65">
        <v>4133.6416499999996</v>
      </c>
    </row>
    <row r="66" spans="1:13" x14ac:dyDescent="0.35">
      <c r="A66" t="s">
        <v>13</v>
      </c>
      <c r="B66" t="s">
        <v>7</v>
      </c>
      <c r="C66" t="s">
        <v>8</v>
      </c>
      <c r="H66">
        <f>IF(B66="female", 0, 1)</f>
        <v>0</v>
      </c>
      <c r="I66">
        <f>IF(C66= "yes", 1, 0)</f>
        <v>1</v>
      </c>
      <c r="J66">
        <v>20</v>
      </c>
      <c r="K66">
        <v>22.42</v>
      </c>
      <c r="L66">
        <v>0</v>
      </c>
      <c r="M66">
        <v>14711.7438</v>
      </c>
    </row>
    <row r="67" spans="1:13" x14ac:dyDescent="0.35">
      <c r="A67" t="s">
        <v>9</v>
      </c>
      <c r="B67" t="s">
        <v>7</v>
      </c>
      <c r="C67" t="s">
        <v>11</v>
      </c>
      <c r="H67">
        <f>IF(B67="female", 0, 1)</f>
        <v>0</v>
      </c>
      <c r="I67">
        <f>IF(C67= "yes", 1, 0)</f>
        <v>0</v>
      </c>
      <c r="J67">
        <v>19</v>
      </c>
      <c r="K67">
        <v>28.9</v>
      </c>
      <c r="L67">
        <v>0</v>
      </c>
      <c r="M67">
        <v>1743.2139999999999</v>
      </c>
    </row>
    <row r="68" spans="1:13" x14ac:dyDescent="0.35">
      <c r="A68" t="s">
        <v>9</v>
      </c>
      <c r="B68" t="s">
        <v>7</v>
      </c>
      <c r="C68" t="s">
        <v>11</v>
      </c>
      <c r="H68">
        <f>IF(B68="female", 0, 1)</f>
        <v>0</v>
      </c>
      <c r="I68">
        <f>IF(C68= "yes", 1, 0)</f>
        <v>0</v>
      </c>
      <c r="J68">
        <v>61</v>
      </c>
      <c r="K68">
        <v>39.1</v>
      </c>
      <c r="L68">
        <v>2</v>
      </c>
      <c r="M68">
        <v>14235.072</v>
      </c>
    </row>
    <row r="69" spans="1:13" x14ac:dyDescent="0.35">
      <c r="A69" t="s">
        <v>13</v>
      </c>
      <c r="B69" t="s">
        <v>10</v>
      </c>
      <c r="C69" t="s">
        <v>11</v>
      </c>
      <c r="H69">
        <f>IF(B69="female", 0, 1)</f>
        <v>1</v>
      </c>
      <c r="I69">
        <f>IF(C69= "yes", 1, 0)</f>
        <v>0</v>
      </c>
      <c r="J69">
        <v>40</v>
      </c>
      <c r="K69">
        <v>26.315000000000001</v>
      </c>
      <c r="L69">
        <v>1</v>
      </c>
      <c r="M69">
        <v>6389.3778499999999</v>
      </c>
    </row>
    <row r="70" spans="1:13" x14ac:dyDescent="0.35">
      <c r="A70" t="s">
        <v>12</v>
      </c>
      <c r="B70" t="s">
        <v>7</v>
      </c>
      <c r="C70" t="s">
        <v>11</v>
      </c>
      <c r="H70">
        <f>IF(B70="female", 0, 1)</f>
        <v>0</v>
      </c>
      <c r="I70">
        <f>IF(C70= "yes", 1, 0)</f>
        <v>0</v>
      </c>
      <c r="J70">
        <v>40</v>
      </c>
      <c r="K70">
        <v>36.19</v>
      </c>
      <c r="L70">
        <v>0</v>
      </c>
      <c r="M70">
        <v>5920.1040999999996</v>
      </c>
    </row>
    <row r="71" spans="1:13" x14ac:dyDescent="0.35">
      <c r="A71" t="s">
        <v>12</v>
      </c>
      <c r="B71" t="s">
        <v>10</v>
      </c>
      <c r="C71" t="s">
        <v>8</v>
      </c>
      <c r="H71">
        <f>IF(B71="female", 0, 1)</f>
        <v>1</v>
      </c>
      <c r="I71">
        <f>IF(C71= "yes", 1, 0)</f>
        <v>1</v>
      </c>
      <c r="J71">
        <v>28</v>
      </c>
      <c r="K71">
        <v>23.98</v>
      </c>
      <c r="L71">
        <v>3</v>
      </c>
      <c r="M71">
        <v>17663.144199999999</v>
      </c>
    </row>
    <row r="72" spans="1:13" x14ac:dyDescent="0.35">
      <c r="A72" t="s">
        <v>12</v>
      </c>
      <c r="B72" t="s">
        <v>7</v>
      </c>
      <c r="C72" t="s">
        <v>8</v>
      </c>
      <c r="H72">
        <f>IF(B72="female", 0, 1)</f>
        <v>0</v>
      </c>
      <c r="I72">
        <f>IF(C72= "yes", 1, 0)</f>
        <v>1</v>
      </c>
      <c r="J72">
        <v>27</v>
      </c>
      <c r="K72">
        <v>24.75</v>
      </c>
      <c r="L72">
        <v>0</v>
      </c>
      <c r="M72">
        <v>16577.779500000001</v>
      </c>
    </row>
    <row r="73" spans="1:13" x14ac:dyDescent="0.35">
      <c r="A73" t="s">
        <v>14</v>
      </c>
      <c r="B73" t="s">
        <v>10</v>
      </c>
      <c r="C73" t="s">
        <v>11</v>
      </c>
      <c r="H73">
        <f>IF(B73="female", 0, 1)</f>
        <v>1</v>
      </c>
      <c r="I73">
        <f>IF(C73= "yes", 1, 0)</f>
        <v>0</v>
      </c>
      <c r="J73">
        <v>31</v>
      </c>
      <c r="K73">
        <v>28.5</v>
      </c>
      <c r="L73">
        <v>5</v>
      </c>
      <c r="M73">
        <v>6799.4579999999996</v>
      </c>
    </row>
    <row r="74" spans="1:13" x14ac:dyDescent="0.35">
      <c r="A74" t="s">
        <v>9</v>
      </c>
      <c r="B74" t="s">
        <v>7</v>
      </c>
      <c r="C74" t="s">
        <v>11</v>
      </c>
      <c r="H74">
        <f>IF(B74="female", 0, 1)</f>
        <v>0</v>
      </c>
      <c r="I74">
        <f>IF(C74= "yes", 1, 0)</f>
        <v>0</v>
      </c>
      <c r="J74">
        <v>53</v>
      </c>
      <c r="K74">
        <v>28.1</v>
      </c>
      <c r="L74">
        <v>3</v>
      </c>
      <c r="M74">
        <v>11741.726000000001</v>
      </c>
    </row>
    <row r="75" spans="1:13" x14ac:dyDescent="0.35">
      <c r="A75" t="s">
        <v>12</v>
      </c>
      <c r="B75" t="s">
        <v>10</v>
      </c>
      <c r="C75" t="s">
        <v>11</v>
      </c>
      <c r="H75">
        <f>IF(B75="female", 0, 1)</f>
        <v>1</v>
      </c>
      <c r="I75">
        <f>IF(C75= "yes", 1, 0)</f>
        <v>0</v>
      </c>
      <c r="J75">
        <v>58</v>
      </c>
      <c r="K75">
        <v>32.01</v>
      </c>
      <c r="L75">
        <v>1</v>
      </c>
      <c r="M75">
        <v>11946.625899999999</v>
      </c>
    </row>
    <row r="76" spans="1:13" x14ac:dyDescent="0.35">
      <c r="A76" t="s">
        <v>9</v>
      </c>
      <c r="B76" t="s">
        <v>10</v>
      </c>
      <c r="C76" t="s">
        <v>11</v>
      </c>
      <c r="H76">
        <f>IF(B76="female", 0, 1)</f>
        <v>1</v>
      </c>
      <c r="I76">
        <f>IF(C76= "yes", 1, 0)</f>
        <v>0</v>
      </c>
      <c r="J76">
        <v>44</v>
      </c>
      <c r="K76">
        <v>27.4</v>
      </c>
      <c r="L76">
        <v>2</v>
      </c>
      <c r="M76">
        <v>7726.8540000000003</v>
      </c>
    </row>
    <row r="77" spans="1:13" x14ac:dyDescent="0.35">
      <c r="A77" t="s">
        <v>13</v>
      </c>
      <c r="B77" t="s">
        <v>10</v>
      </c>
      <c r="C77" t="s">
        <v>11</v>
      </c>
      <c r="H77">
        <f>IF(B77="female", 0, 1)</f>
        <v>1</v>
      </c>
      <c r="I77">
        <f>IF(C77= "yes", 1, 0)</f>
        <v>0</v>
      </c>
      <c r="J77">
        <v>57</v>
      </c>
      <c r="K77">
        <v>34.01</v>
      </c>
      <c r="L77">
        <v>0</v>
      </c>
      <c r="M77">
        <v>11356.660900000001</v>
      </c>
    </row>
    <row r="78" spans="1:13" x14ac:dyDescent="0.35">
      <c r="A78" t="s">
        <v>12</v>
      </c>
      <c r="B78" t="s">
        <v>7</v>
      </c>
      <c r="C78" t="s">
        <v>11</v>
      </c>
      <c r="H78">
        <f>IF(B78="female", 0, 1)</f>
        <v>0</v>
      </c>
      <c r="I78">
        <f>IF(C78= "yes", 1, 0)</f>
        <v>0</v>
      </c>
      <c r="J78">
        <v>29</v>
      </c>
      <c r="K78">
        <v>29.59</v>
      </c>
      <c r="L78">
        <v>1</v>
      </c>
      <c r="M78">
        <v>3947.4131000000002</v>
      </c>
    </row>
    <row r="79" spans="1:13" x14ac:dyDescent="0.35">
      <c r="A79" t="s">
        <v>12</v>
      </c>
      <c r="B79" t="s">
        <v>10</v>
      </c>
      <c r="C79" t="s">
        <v>11</v>
      </c>
      <c r="H79">
        <f>IF(B79="female", 0, 1)</f>
        <v>1</v>
      </c>
      <c r="I79">
        <f>IF(C79= "yes", 1, 0)</f>
        <v>0</v>
      </c>
      <c r="J79">
        <v>21</v>
      </c>
      <c r="K79">
        <v>35.53</v>
      </c>
      <c r="L79">
        <v>0</v>
      </c>
      <c r="M79">
        <v>1532.4697000000001</v>
      </c>
    </row>
    <row r="80" spans="1:13" x14ac:dyDescent="0.35">
      <c r="A80" t="s">
        <v>14</v>
      </c>
      <c r="B80" t="s">
        <v>7</v>
      </c>
      <c r="C80" t="s">
        <v>11</v>
      </c>
      <c r="H80">
        <f>IF(B80="female", 0, 1)</f>
        <v>0</v>
      </c>
      <c r="I80">
        <f>IF(C80= "yes", 1, 0)</f>
        <v>0</v>
      </c>
      <c r="J80">
        <v>22</v>
      </c>
      <c r="K80">
        <v>39.805</v>
      </c>
      <c r="L80">
        <v>0</v>
      </c>
      <c r="M80">
        <v>2755.0209500000001</v>
      </c>
    </row>
    <row r="81" spans="1:13" x14ac:dyDescent="0.35">
      <c r="A81" t="s">
        <v>13</v>
      </c>
      <c r="B81" t="s">
        <v>7</v>
      </c>
      <c r="C81" t="s">
        <v>11</v>
      </c>
      <c r="H81">
        <f>IF(B81="female", 0, 1)</f>
        <v>0</v>
      </c>
      <c r="I81">
        <f>IF(C81= "yes", 1, 0)</f>
        <v>0</v>
      </c>
      <c r="J81">
        <v>41</v>
      </c>
      <c r="K81">
        <v>32.965000000000003</v>
      </c>
      <c r="L81">
        <v>0</v>
      </c>
      <c r="M81">
        <v>6571.0243499999997</v>
      </c>
    </row>
    <row r="82" spans="1:13" x14ac:dyDescent="0.35">
      <c r="A82" t="s">
        <v>14</v>
      </c>
      <c r="B82" t="s">
        <v>10</v>
      </c>
      <c r="C82" t="s">
        <v>11</v>
      </c>
      <c r="H82">
        <f>IF(B82="female", 0, 1)</f>
        <v>1</v>
      </c>
      <c r="I82">
        <f>IF(C82= "yes", 1, 0)</f>
        <v>0</v>
      </c>
      <c r="J82">
        <v>31</v>
      </c>
      <c r="K82">
        <v>26.885000000000002</v>
      </c>
      <c r="L82">
        <v>1</v>
      </c>
      <c r="M82">
        <v>4441.2131499999996</v>
      </c>
    </row>
    <row r="83" spans="1:13" x14ac:dyDescent="0.35">
      <c r="A83" t="s">
        <v>14</v>
      </c>
      <c r="B83" t="s">
        <v>7</v>
      </c>
      <c r="C83" t="s">
        <v>11</v>
      </c>
      <c r="H83">
        <f>IF(B83="female", 0, 1)</f>
        <v>0</v>
      </c>
      <c r="I83">
        <f>IF(C83= "yes", 1, 0)</f>
        <v>0</v>
      </c>
      <c r="J83">
        <v>45</v>
      </c>
      <c r="K83">
        <v>38.284999999999997</v>
      </c>
      <c r="L83">
        <v>0</v>
      </c>
      <c r="M83">
        <v>7935.29115</v>
      </c>
    </row>
    <row r="84" spans="1:13" x14ac:dyDescent="0.35">
      <c r="A84" t="s">
        <v>12</v>
      </c>
      <c r="B84" t="s">
        <v>10</v>
      </c>
      <c r="C84" t="s">
        <v>8</v>
      </c>
      <c r="H84">
        <f>IF(B84="female", 0, 1)</f>
        <v>1</v>
      </c>
      <c r="I84">
        <f>IF(C84= "yes", 1, 0)</f>
        <v>1</v>
      </c>
      <c r="J84">
        <v>22</v>
      </c>
      <c r="K84">
        <v>37.619999999999997</v>
      </c>
      <c r="L84">
        <v>1</v>
      </c>
      <c r="M84">
        <v>37165.163800000002</v>
      </c>
    </row>
    <row r="85" spans="1:13" x14ac:dyDescent="0.35">
      <c r="A85" t="s">
        <v>13</v>
      </c>
      <c r="B85" t="s">
        <v>7</v>
      </c>
      <c r="C85" t="s">
        <v>11</v>
      </c>
      <c r="H85">
        <f>IF(B85="female", 0, 1)</f>
        <v>0</v>
      </c>
      <c r="I85">
        <f>IF(C85= "yes", 1, 0)</f>
        <v>0</v>
      </c>
      <c r="J85">
        <v>48</v>
      </c>
      <c r="K85">
        <v>41.23</v>
      </c>
      <c r="L85">
        <v>4</v>
      </c>
      <c r="M85">
        <v>11033.661700000001</v>
      </c>
    </row>
    <row r="86" spans="1:13" x14ac:dyDescent="0.35">
      <c r="A86" t="s">
        <v>9</v>
      </c>
      <c r="B86" t="s">
        <v>7</v>
      </c>
      <c r="C86" t="s">
        <v>8</v>
      </c>
      <c r="H86">
        <f>IF(B86="female", 0, 1)</f>
        <v>0</v>
      </c>
      <c r="I86">
        <f>IF(C86= "yes", 1, 0)</f>
        <v>1</v>
      </c>
      <c r="J86">
        <v>37</v>
      </c>
      <c r="K86">
        <v>34.799999999999997</v>
      </c>
      <c r="L86">
        <v>2</v>
      </c>
      <c r="M86">
        <v>39836.519</v>
      </c>
    </row>
    <row r="87" spans="1:13" x14ac:dyDescent="0.35">
      <c r="A87" t="s">
        <v>13</v>
      </c>
      <c r="B87" t="s">
        <v>10</v>
      </c>
      <c r="C87" t="s">
        <v>8</v>
      </c>
      <c r="H87">
        <f>IF(B87="female", 0, 1)</f>
        <v>1</v>
      </c>
      <c r="I87">
        <f>IF(C87= "yes", 1, 0)</f>
        <v>1</v>
      </c>
      <c r="J87">
        <v>45</v>
      </c>
      <c r="K87">
        <v>22.895</v>
      </c>
      <c r="L87">
        <v>2</v>
      </c>
      <c r="M87">
        <v>21098.554049999999</v>
      </c>
    </row>
    <row r="88" spans="1:13" x14ac:dyDescent="0.35">
      <c r="A88" t="s">
        <v>13</v>
      </c>
      <c r="B88" t="s">
        <v>7</v>
      </c>
      <c r="C88" t="s">
        <v>8</v>
      </c>
      <c r="H88">
        <f>IF(B88="female", 0, 1)</f>
        <v>0</v>
      </c>
      <c r="I88">
        <f>IF(C88= "yes", 1, 0)</f>
        <v>1</v>
      </c>
      <c r="J88">
        <v>57</v>
      </c>
      <c r="K88">
        <v>31.16</v>
      </c>
      <c r="L88">
        <v>0</v>
      </c>
      <c r="M88">
        <v>43578.939400000003</v>
      </c>
    </row>
    <row r="89" spans="1:13" x14ac:dyDescent="0.35">
      <c r="A89" t="s">
        <v>9</v>
      </c>
      <c r="B89" t="s">
        <v>7</v>
      </c>
      <c r="C89" t="s">
        <v>11</v>
      </c>
      <c r="H89">
        <f>IF(B89="female", 0, 1)</f>
        <v>0</v>
      </c>
      <c r="I89">
        <f>IF(C89= "yes", 1, 0)</f>
        <v>0</v>
      </c>
      <c r="J89">
        <v>56</v>
      </c>
      <c r="K89">
        <v>27.2</v>
      </c>
      <c r="L89">
        <v>0</v>
      </c>
      <c r="M89">
        <v>11073.175999999999</v>
      </c>
    </row>
    <row r="90" spans="1:13" x14ac:dyDescent="0.35">
      <c r="A90" t="s">
        <v>13</v>
      </c>
      <c r="B90" t="s">
        <v>7</v>
      </c>
      <c r="C90" t="s">
        <v>11</v>
      </c>
      <c r="H90">
        <f>IF(B90="female", 0, 1)</f>
        <v>0</v>
      </c>
      <c r="I90">
        <f>IF(C90= "yes", 1, 0)</f>
        <v>0</v>
      </c>
      <c r="J90">
        <v>46</v>
      </c>
      <c r="K90">
        <v>27.74</v>
      </c>
      <c r="L90">
        <v>0</v>
      </c>
      <c r="M90">
        <v>8026.6665999999996</v>
      </c>
    </row>
    <row r="91" spans="1:13" x14ac:dyDescent="0.35">
      <c r="A91" t="s">
        <v>13</v>
      </c>
      <c r="B91" t="s">
        <v>7</v>
      </c>
      <c r="C91" t="s">
        <v>11</v>
      </c>
      <c r="H91">
        <f>IF(B91="female", 0, 1)</f>
        <v>0</v>
      </c>
      <c r="I91">
        <f>IF(C91= "yes", 1, 0)</f>
        <v>0</v>
      </c>
      <c r="J91">
        <v>55</v>
      </c>
      <c r="K91">
        <v>26.98</v>
      </c>
      <c r="L91">
        <v>0</v>
      </c>
      <c r="M91">
        <v>11082.5772</v>
      </c>
    </row>
    <row r="92" spans="1:13" x14ac:dyDescent="0.35">
      <c r="A92" t="s">
        <v>12</v>
      </c>
      <c r="B92" t="s">
        <v>7</v>
      </c>
      <c r="C92" t="s">
        <v>11</v>
      </c>
      <c r="H92">
        <f>IF(B92="female", 0, 1)</f>
        <v>0</v>
      </c>
      <c r="I92">
        <f>IF(C92= "yes", 1, 0)</f>
        <v>0</v>
      </c>
      <c r="J92">
        <v>21</v>
      </c>
      <c r="K92">
        <v>39.49</v>
      </c>
      <c r="L92">
        <v>0</v>
      </c>
      <c r="M92">
        <v>2026.9740999999999</v>
      </c>
    </row>
    <row r="93" spans="1:13" x14ac:dyDescent="0.35">
      <c r="A93" t="s">
        <v>13</v>
      </c>
      <c r="B93" t="s">
        <v>7</v>
      </c>
      <c r="C93" t="s">
        <v>11</v>
      </c>
      <c r="H93">
        <f>IF(B93="female", 0, 1)</f>
        <v>0</v>
      </c>
      <c r="I93">
        <f>IF(C93= "yes", 1, 0)</f>
        <v>0</v>
      </c>
      <c r="J93">
        <v>53</v>
      </c>
      <c r="K93">
        <v>24.795000000000002</v>
      </c>
      <c r="L93">
        <v>1</v>
      </c>
      <c r="M93">
        <v>10942.13205</v>
      </c>
    </row>
    <row r="94" spans="1:13" x14ac:dyDescent="0.35">
      <c r="A94" t="s">
        <v>14</v>
      </c>
      <c r="B94" t="s">
        <v>10</v>
      </c>
      <c r="C94" t="s">
        <v>8</v>
      </c>
      <c r="H94">
        <f>IF(B94="female", 0, 1)</f>
        <v>1</v>
      </c>
      <c r="I94">
        <f>IF(C94= "yes", 1, 0)</f>
        <v>1</v>
      </c>
      <c r="J94">
        <v>59</v>
      </c>
      <c r="K94">
        <v>29.83</v>
      </c>
      <c r="L94">
        <v>3</v>
      </c>
      <c r="M94">
        <v>30184.936699999998</v>
      </c>
    </row>
    <row r="95" spans="1:13" x14ac:dyDescent="0.35">
      <c r="A95" t="s">
        <v>13</v>
      </c>
      <c r="B95" t="s">
        <v>10</v>
      </c>
      <c r="C95" t="s">
        <v>11</v>
      </c>
      <c r="H95">
        <f>IF(B95="female", 0, 1)</f>
        <v>1</v>
      </c>
      <c r="I95">
        <f>IF(C95= "yes", 1, 0)</f>
        <v>0</v>
      </c>
      <c r="J95">
        <v>35</v>
      </c>
      <c r="K95">
        <v>34.770000000000003</v>
      </c>
      <c r="L95">
        <v>2</v>
      </c>
      <c r="M95">
        <v>5729.0052999999998</v>
      </c>
    </row>
    <row r="96" spans="1:13" x14ac:dyDescent="0.35">
      <c r="A96" t="s">
        <v>9</v>
      </c>
      <c r="B96" t="s">
        <v>7</v>
      </c>
      <c r="C96" t="s">
        <v>8</v>
      </c>
      <c r="H96">
        <f>IF(B96="female", 0, 1)</f>
        <v>0</v>
      </c>
      <c r="I96">
        <f>IF(C96= "yes", 1, 0)</f>
        <v>1</v>
      </c>
      <c r="J96">
        <v>64</v>
      </c>
      <c r="K96">
        <v>31.3</v>
      </c>
      <c r="L96">
        <v>2</v>
      </c>
      <c r="M96">
        <v>47291.055</v>
      </c>
    </row>
    <row r="97" spans="1:13" x14ac:dyDescent="0.35">
      <c r="A97" t="s">
        <v>12</v>
      </c>
      <c r="B97" t="s">
        <v>7</v>
      </c>
      <c r="C97" t="s">
        <v>11</v>
      </c>
      <c r="H97">
        <f>IF(B97="female", 0, 1)</f>
        <v>0</v>
      </c>
      <c r="I97">
        <f>IF(C97= "yes", 1, 0)</f>
        <v>0</v>
      </c>
      <c r="J97">
        <v>28</v>
      </c>
      <c r="K97">
        <v>37.619999999999997</v>
      </c>
      <c r="L97">
        <v>1</v>
      </c>
      <c r="M97">
        <v>3766.8838000000001</v>
      </c>
    </row>
    <row r="98" spans="1:13" x14ac:dyDescent="0.35">
      <c r="A98" t="s">
        <v>9</v>
      </c>
      <c r="B98" t="s">
        <v>7</v>
      </c>
      <c r="C98" t="s">
        <v>11</v>
      </c>
      <c r="H98">
        <f>IF(B98="female", 0, 1)</f>
        <v>0</v>
      </c>
      <c r="I98">
        <f>IF(C98= "yes", 1, 0)</f>
        <v>0</v>
      </c>
      <c r="J98">
        <v>54</v>
      </c>
      <c r="K98">
        <v>30.8</v>
      </c>
      <c r="L98">
        <v>3</v>
      </c>
      <c r="M98">
        <v>12105.32</v>
      </c>
    </row>
    <row r="99" spans="1:13" x14ac:dyDescent="0.35">
      <c r="A99" t="s">
        <v>12</v>
      </c>
      <c r="B99" t="s">
        <v>10</v>
      </c>
      <c r="C99" t="s">
        <v>11</v>
      </c>
      <c r="H99">
        <f>IF(B99="female", 0, 1)</f>
        <v>1</v>
      </c>
      <c r="I99">
        <f>IF(C99= "yes", 1, 0)</f>
        <v>0</v>
      </c>
      <c r="J99">
        <v>55</v>
      </c>
      <c r="K99">
        <v>38.28</v>
      </c>
      <c r="L99">
        <v>0</v>
      </c>
      <c r="M99">
        <v>10226.2842</v>
      </c>
    </row>
    <row r="100" spans="1:13" x14ac:dyDescent="0.35">
      <c r="A100" t="s">
        <v>14</v>
      </c>
      <c r="B100" t="s">
        <v>10</v>
      </c>
      <c r="C100" t="s">
        <v>8</v>
      </c>
      <c r="H100">
        <f>IF(B100="female", 0, 1)</f>
        <v>1</v>
      </c>
      <c r="I100">
        <f>IF(C100= "yes", 1, 0)</f>
        <v>1</v>
      </c>
      <c r="J100">
        <v>56</v>
      </c>
      <c r="K100">
        <v>19.95</v>
      </c>
      <c r="L100">
        <v>0</v>
      </c>
      <c r="M100">
        <v>22412.648499999999</v>
      </c>
    </row>
    <row r="101" spans="1:13" x14ac:dyDescent="0.35">
      <c r="A101" t="s">
        <v>9</v>
      </c>
      <c r="B101" t="s">
        <v>10</v>
      </c>
      <c r="C101" t="s">
        <v>8</v>
      </c>
      <c r="H101">
        <f>IF(B101="female", 0, 1)</f>
        <v>1</v>
      </c>
      <c r="I101">
        <f>IF(C101= "yes", 1, 0)</f>
        <v>1</v>
      </c>
      <c r="J101">
        <v>38</v>
      </c>
      <c r="K101">
        <v>19.3</v>
      </c>
      <c r="L101">
        <v>0</v>
      </c>
      <c r="M101">
        <v>15820.699000000001</v>
      </c>
    </row>
    <row r="102" spans="1:13" x14ac:dyDescent="0.35">
      <c r="A102" t="s">
        <v>9</v>
      </c>
      <c r="B102" t="s">
        <v>7</v>
      </c>
      <c r="C102" t="s">
        <v>11</v>
      </c>
      <c r="H102">
        <f>IF(B102="female", 0, 1)</f>
        <v>0</v>
      </c>
      <c r="I102">
        <f>IF(C102= "yes", 1, 0)</f>
        <v>0</v>
      </c>
      <c r="J102">
        <v>41</v>
      </c>
      <c r="K102">
        <v>31.6</v>
      </c>
      <c r="L102">
        <v>0</v>
      </c>
      <c r="M102">
        <v>6186.1270000000004</v>
      </c>
    </row>
    <row r="103" spans="1:13" x14ac:dyDescent="0.35">
      <c r="A103" t="s">
        <v>14</v>
      </c>
      <c r="B103" t="s">
        <v>10</v>
      </c>
      <c r="C103" t="s">
        <v>11</v>
      </c>
      <c r="H103">
        <f>IF(B103="female", 0, 1)</f>
        <v>1</v>
      </c>
      <c r="I103">
        <f>IF(C103= "yes", 1, 0)</f>
        <v>0</v>
      </c>
      <c r="J103">
        <v>30</v>
      </c>
      <c r="K103">
        <v>25.46</v>
      </c>
      <c r="L103">
        <v>0</v>
      </c>
      <c r="M103">
        <v>3645.0893999999998</v>
      </c>
    </row>
    <row r="104" spans="1:13" x14ac:dyDescent="0.35">
      <c r="A104" t="s">
        <v>14</v>
      </c>
      <c r="B104" t="s">
        <v>7</v>
      </c>
      <c r="C104" t="s">
        <v>11</v>
      </c>
      <c r="H104">
        <f>IF(B104="female", 0, 1)</f>
        <v>0</v>
      </c>
      <c r="I104">
        <f>IF(C104= "yes", 1, 0)</f>
        <v>0</v>
      </c>
      <c r="J104">
        <v>18</v>
      </c>
      <c r="K104">
        <v>30.114999999999998</v>
      </c>
      <c r="L104">
        <v>0</v>
      </c>
      <c r="M104">
        <v>21344.846699999998</v>
      </c>
    </row>
    <row r="105" spans="1:13" x14ac:dyDescent="0.35">
      <c r="A105" t="s">
        <v>12</v>
      </c>
      <c r="B105" t="s">
        <v>7</v>
      </c>
      <c r="C105" t="s">
        <v>8</v>
      </c>
      <c r="H105">
        <f>IF(B105="female", 0, 1)</f>
        <v>0</v>
      </c>
      <c r="I105">
        <f>IF(C105= "yes", 1, 0)</f>
        <v>1</v>
      </c>
      <c r="J105">
        <v>61</v>
      </c>
      <c r="K105">
        <v>29.92</v>
      </c>
      <c r="L105">
        <v>3</v>
      </c>
      <c r="M105">
        <v>30942.191800000001</v>
      </c>
    </row>
    <row r="106" spans="1:13" x14ac:dyDescent="0.35">
      <c r="A106" t="s">
        <v>9</v>
      </c>
      <c r="B106" t="s">
        <v>7</v>
      </c>
      <c r="C106" t="s">
        <v>11</v>
      </c>
      <c r="H106">
        <f>IF(B106="female", 0, 1)</f>
        <v>0</v>
      </c>
      <c r="I106">
        <f>IF(C106= "yes", 1, 0)</f>
        <v>0</v>
      </c>
      <c r="J106">
        <v>34</v>
      </c>
      <c r="K106">
        <v>27.5</v>
      </c>
      <c r="L106">
        <v>1</v>
      </c>
      <c r="M106">
        <v>5003.8530000000001</v>
      </c>
    </row>
    <row r="107" spans="1:13" x14ac:dyDescent="0.35">
      <c r="A107" t="s">
        <v>13</v>
      </c>
      <c r="B107" t="s">
        <v>10</v>
      </c>
      <c r="C107" t="s">
        <v>8</v>
      </c>
      <c r="H107">
        <f>IF(B107="female", 0, 1)</f>
        <v>1</v>
      </c>
      <c r="I107">
        <f>IF(C107= "yes", 1, 0)</f>
        <v>1</v>
      </c>
      <c r="J107">
        <v>20</v>
      </c>
      <c r="K107">
        <v>28.024999999999999</v>
      </c>
      <c r="L107">
        <v>1</v>
      </c>
      <c r="M107">
        <v>17560.37975</v>
      </c>
    </row>
    <row r="108" spans="1:13" x14ac:dyDescent="0.35">
      <c r="A108" t="s">
        <v>9</v>
      </c>
      <c r="B108" t="s">
        <v>7</v>
      </c>
      <c r="C108" t="s">
        <v>11</v>
      </c>
      <c r="H108">
        <f>IF(B108="female", 0, 1)</f>
        <v>0</v>
      </c>
      <c r="I108">
        <f>IF(C108= "yes", 1, 0)</f>
        <v>0</v>
      </c>
      <c r="J108">
        <v>19</v>
      </c>
      <c r="K108">
        <v>28.4</v>
      </c>
      <c r="L108">
        <v>1</v>
      </c>
      <c r="M108">
        <v>2331.5189999999998</v>
      </c>
    </row>
    <row r="109" spans="1:13" x14ac:dyDescent="0.35">
      <c r="A109" t="s">
        <v>13</v>
      </c>
      <c r="B109" t="s">
        <v>10</v>
      </c>
      <c r="C109" t="s">
        <v>11</v>
      </c>
      <c r="H109">
        <f>IF(B109="female", 0, 1)</f>
        <v>1</v>
      </c>
      <c r="I109">
        <f>IF(C109= "yes", 1, 0)</f>
        <v>0</v>
      </c>
      <c r="J109">
        <v>26</v>
      </c>
      <c r="K109">
        <v>30.875</v>
      </c>
      <c r="L109">
        <v>2</v>
      </c>
      <c r="M109">
        <v>3877.3042500000001</v>
      </c>
    </row>
    <row r="110" spans="1:13" x14ac:dyDescent="0.35">
      <c r="A110" t="s">
        <v>12</v>
      </c>
      <c r="B110" t="s">
        <v>10</v>
      </c>
      <c r="C110" t="s">
        <v>11</v>
      </c>
      <c r="H110">
        <f>IF(B110="female", 0, 1)</f>
        <v>1</v>
      </c>
      <c r="I110">
        <f>IF(C110= "yes", 1, 0)</f>
        <v>0</v>
      </c>
      <c r="J110">
        <v>29</v>
      </c>
      <c r="K110">
        <v>27.94</v>
      </c>
      <c r="L110">
        <v>0</v>
      </c>
      <c r="M110">
        <v>2867.1196</v>
      </c>
    </row>
    <row r="111" spans="1:13" x14ac:dyDescent="0.35">
      <c r="A111" t="s">
        <v>12</v>
      </c>
      <c r="B111" t="s">
        <v>10</v>
      </c>
      <c r="C111" t="s">
        <v>8</v>
      </c>
      <c r="H111">
        <f>IF(B111="female", 0, 1)</f>
        <v>1</v>
      </c>
      <c r="I111">
        <f>IF(C111= "yes", 1, 0)</f>
        <v>1</v>
      </c>
      <c r="J111">
        <v>63</v>
      </c>
      <c r="K111">
        <v>35.090000000000003</v>
      </c>
      <c r="L111">
        <v>0</v>
      </c>
      <c r="M111">
        <v>47055.532099999997</v>
      </c>
    </row>
    <row r="112" spans="1:13" x14ac:dyDescent="0.35">
      <c r="A112" t="s">
        <v>13</v>
      </c>
      <c r="B112" t="s">
        <v>10</v>
      </c>
      <c r="C112" t="s">
        <v>11</v>
      </c>
      <c r="H112">
        <f>IF(B112="female", 0, 1)</f>
        <v>1</v>
      </c>
      <c r="I112">
        <f>IF(C112= "yes", 1, 0)</f>
        <v>0</v>
      </c>
      <c r="J112">
        <v>54</v>
      </c>
      <c r="K112">
        <v>33.630000000000003</v>
      </c>
      <c r="L112">
        <v>1</v>
      </c>
      <c r="M112">
        <v>10825.253699999999</v>
      </c>
    </row>
    <row r="113" spans="1:13" x14ac:dyDescent="0.35">
      <c r="A113" t="s">
        <v>9</v>
      </c>
      <c r="B113" t="s">
        <v>7</v>
      </c>
      <c r="C113" t="s">
        <v>11</v>
      </c>
      <c r="H113">
        <f>IF(B113="female", 0, 1)</f>
        <v>0</v>
      </c>
      <c r="I113">
        <f>IF(C113= "yes", 1, 0)</f>
        <v>0</v>
      </c>
      <c r="J113">
        <v>55</v>
      </c>
      <c r="K113">
        <v>29.7</v>
      </c>
      <c r="L113">
        <v>2</v>
      </c>
      <c r="M113">
        <v>11881.358</v>
      </c>
    </row>
    <row r="114" spans="1:13" x14ac:dyDescent="0.35">
      <c r="A114" t="s">
        <v>9</v>
      </c>
      <c r="B114" t="s">
        <v>10</v>
      </c>
      <c r="C114" t="s">
        <v>11</v>
      </c>
      <c r="H114">
        <f>IF(B114="female", 0, 1)</f>
        <v>1</v>
      </c>
      <c r="I114">
        <f>IF(C114= "yes", 1, 0)</f>
        <v>0</v>
      </c>
      <c r="J114">
        <v>37</v>
      </c>
      <c r="K114">
        <v>30.8</v>
      </c>
      <c r="L114">
        <v>0</v>
      </c>
      <c r="M114">
        <v>4646.759</v>
      </c>
    </row>
    <row r="115" spans="1:13" x14ac:dyDescent="0.35">
      <c r="A115" t="s">
        <v>13</v>
      </c>
      <c r="B115" t="s">
        <v>7</v>
      </c>
      <c r="C115" t="s">
        <v>11</v>
      </c>
      <c r="H115">
        <f>IF(B115="female", 0, 1)</f>
        <v>0</v>
      </c>
      <c r="I115">
        <f>IF(C115= "yes", 1, 0)</f>
        <v>0</v>
      </c>
      <c r="J115">
        <v>21</v>
      </c>
      <c r="K115">
        <v>35.72</v>
      </c>
      <c r="L115">
        <v>0</v>
      </c>
      <c r="M115">
        <v>2404.7338</v>
      </c>
    </row>
    <row r="116" spans="1:13" x14ac:dyDescent="0.35">
      <c r="A116" t="s">
        <v>14</v>
      </c>
      <c r="B116" t="s">
        <v>10</v>
      </c>
      <c r="C116" t="s">
        <v>11</v>
      </c>
      <c r="H116">
        <f>IF(B116="female", 0, 1)</f>
        <v>1</v>
      </c>
      <c r="I116">
        <f>IF(C116= "yes", 1, 0)</f>
        <v>0</v>
      </c>
      <c r="J116">
        <v>52</v>
      </c>
      <c r="K116">
        <v>32.204999999999998</v>
      </c>
      <c r="L116">
        <v>3</v>
      </c>
      <c r="M116">
        <v>11488.31695</v>
      </c>
    </row>
    <row r="117" spans="1:13" x14ac:dyDescent="0.35">
      <c r="A117" t="s">
        <v>14</v>
      </c>
      <c r="B117" t="s">
        <v>10</v>
      </c>
      <c r="C117" t="s">
        <v>11</v>
      </c>
      <c r="H117">
        <f>IF(B117="female", 0, 1)</f>
        <v>1</v>
      </c>
      <c r="I117">
        <f>IF(C117= "yes", 1, 0)</f>
        <v>0</v>
      </c>
      <c r="J117">
        <v>60</v>
      </c>
      <c r="K117">
        <v>28.594999999999999</v>
      </c>
      <c r="L117">
        <v>0</v>
      </c>
      <c r="M117">
        <v>30259.995559999999</v>
      </c>
    </row>
    <row r="118" spans="1:13" x14ac:dyDescent="0.35">
      <c r="A118" t="s">
        <v>12</v>
      </c>
      <c r="B118" t="s">
        <v>10</v>
      </c>
      <c r="C118" t="s">
        <v>11</v>
      </c>
      <c r="H118">
        <f>IF(B118="female", 0, 1)</f>
        <v>1</v>
      </c>
      <c r="I118">
        <f>IF(C118= "yes", 1, 0)</f>
        <v>0</v>
      </c>
      <c r="J118">
        <v>58</v>
      </c>
      <c r="K118">
        <v>49.06</v>
      </c>
      <c r="L118">
        <v>0</v>
      </c>
      <c r="M118">
        <v>11381.3254</v>
      </c>
    </row>
    <row r="119" spans="1:13" x14ac:dyDescent="0.35">
      <c r="A119" t="s">
        <v>12</v>
      </c>
      <c r="B119" t="s">
        <v>7</v>
      </c>
      <c r="C119" t="s">
        <v>8</v>
      </c>
      <c r="H119">
        <f>IF(B119="female", 0, 1)</f>
        <v>0</v>
      </c>
      <c r="I119">
        <f>IF(C119= "yes", 1, 0)</f>
        <v>1</v>
      </c>
      <c r="J119">
        <v>29</v>
      </c>
      <c r="K119">
        <v>27.94</v>
      </c>
      <c r="L119">
        <v>1</v>
      </c>
      <c r="M119">
        <v>19107.779600000002</v>
      </c>
    </row>
    <row r="120" spans="1:13" x14ac:dyDescent="0.35">
      <c r="A120" t="s">
        <v>12</v>
      </c>
      <c r="B120" t="s">
        <v>7</v>
      </c>
      <c r="C120" t="s">
        <v>11</v>
      </c>
      <c r="H120">
        <f>IF(B120="female", 0, 1)</f>
        <v>0</v>
      </c>
      <c r="I120">
        <f>IF(C120= "yes", 1, 0)</f>
        <v>0</v>
      </c>
      <c r="J120">
        <v>49</v>
      </c>
      <c r="K120">
        <v>27.17</v>
      </c>
      <c r="L120">
        <v>0</v>
      </c>
      <c r="M120">
        <v>8601.3292999999994</v>
      </c>
    </row>
    <row r="121" spans="1:13" x14ac:dyDescent="0.35">
      <c r="A121" t="s">
        <v>13</v>
      </c>
      <c r="B121" t="s">
        <v>7</v>
      </c>
      <c r="C121" t="s">
        <v>11</v>
      </c>
      <c r="H121">
        <f>IF(B121="female", 0, 1)</f>
        <v>0</v>
      </c>
      <c r="I121">
        <f>IF(C121= "yes", 1, 0)</f>
        <v>0</v>
      </c>
      <c r="J121">
        <v>37</v>
      </c>
      <c r="K121">
        <v>23.37</v>
      </c>
      <c r="L121">
        <v>2</v>
      </c>
      <c r="M121">
        <v>6686.4313000000002</v>
      </c>
    </row>
    <row r="122" spans="1:13" x14ac:dyDescent="0.35">
      <c r="A122" t="s">
        <v>9</v>
      </c>
      <c r="B122" t="s">
        <v>10</v>
      </c>
      <c r="C122" t="s">
        <v>11</v>
      </c>
      <c r="H122">
        <f>IF(B122="female", 0, 1)</f>
        <v>1</v>
      </c>
      <c r="I122">
        <f>IF(C122= "yes", 1, 0)</f>
        <v>0</v>
      </c>
      <c r="J122">
        <v>44</v>
      </c>
      <c r="K122">
        <v>37.1</v>
      </c>
      <c r="L122">
        <v>2</v>
      </c>
      <c r="M122">
        <v>7740.3370000000004</v>
      </c>
    </row>
    <row r="123" spans="1:13" x14ac:dyDescent="0.35">
      <c r="A123" t="s">
        <v>14</v>
      </c>
      <c r="B123" t="s">
        <v>10</v>
      </c>
      <c r="C123" t="s">
        <v>11</v>
      </c>
      <c r="H123">
        <f>IF(B123="female", 0, 1)</f>
        <v>1</v>
      </c>
      <c r="I123">
        <f>IF(C123= "yes", 1, 0)</f>
        <v>0</v>
      </c>
      <c r="J123">
        <v>18</v>
      </c>
      <c r="K123">
        <v>23.75</v>
      </c>
      <c r="L123">
        <v>0</v>
      </c>
      <c r="M123">
        <v>1705.6244999999999</v>
      </c>
    </row>
    <row r="124" spans="1:13" x14ac:dyDescent="0.35">
      <c r="A124" t="s">
        <v>13</v>
      </c>
      <c r="B124" t="s">
        <v>7</v>
      </c>
      <c r="C124" t="s">
        <v>11</v>
      </c>
      <c r="H124">
        <f>IF(B124="female", 0, 1)</f>
        <v>0</v>
      </c>
      <c r="I124">
        <f>IF(C124= "yes", 1, 0)</f>
        <v>0</v>
      </c>
      <c r="J124">
        <v>20</v>
      </c>
      <c r="K124">
        <v>28.975000000000001</v>
      </c>
      <c r="L124">
        <v>0</v>
      </c>
      <c r="M124">
        <v>2257.47525</v>
      </c>
    </row>
    <row r="125" spans="1:13" x14ac:dyDescent="0.35">
      <c r="A125" t="s">
        <v>14</v>
      </c>
      <c r="B125" t="s">
        <v>10</v>
      </c>
      <c r="C125" t="s">
        <v>8</v>
      </c>
      <c r="H125">
        <f>IF(B125="female", 0, 1)</f>
        <v>1</v>
      </c>
      <c r="I125">
        <f>IF(C125= "yes", 1, 0)</f>
        <v>1</v>
      </c>
      <c r="J125">
        <v>44</v>
      </c>
      <c r="K125">
        <v>31.35</v>
      </c>
      <c r="L125">
        <v>1</v>
      </c>
      <c r="M125">
        <v>39556.494500000001</v>
      </c>
    </row>
    <row r="126" spans="1:13" x14ac:dyDescent="0.35">
      <c r="A126" t="s">
        <v>13</v>
      </c>
      <c r="B126" t="s">
        <v>7</v>
      </c>
      <c r="C126" t="s">
        <v>11</v>
      </c>
      <c r="H126">
        <f>IF(B126="female", 0, 1)</f>
        <v>0</v>
      </c>
      <c r="I126">
        <f>IF(C126= "yes", 1, 0)</f>
        <v>0</v>
      </c>
      <c r="J126">
        <v>47</v>
      </c>
      <c r="K126">
        <v>33.914999999999999</v>
      </c>
      <c r="L126">
        <v>3</v>
      </c>
      <c r="M126">
        <v>10115.00885</v>
      </c>
    </row>
    <row r="127" spans="1:13" x14ac:dyDescent="0.35">
      <c r="A127" t="s">
        <v>14</v>
      </c>
      <c r="B127" t="s">
        <v>7</v>
      </c>
      <c r="C127" t="s">
        <v>11</v>
      </c>
      <c r="H127">
        <f>IF(B127="female", 0, 1)</f>
        <v>0</v>
      </c>
      <c r="I127">
        <f>IF(C127= "yes", 1, 0)</f>
        <v>0</v>
      </c>
      <c r="J127">
        <v>26</v>
      </c>
      <c r="K127">
        <v>28.785</v>
      </c>
      <c r="L127">
        <v>0</v>
      </c>
      <c r="M127">
        <v>3385.3991500000002</v>
      </c>
    </row>
    <row r="128" spans="1:13" x14ac:dyDescent="0.35">
      <c r="A128" t="s">
        <v>9</v>
      </c>
      <c r="B128" t="s">
        <v>7</v>
      </c>
      <c r="C128" t="s">
        <v>8</v>
      </c>
      <c r="H128">
        <f>IF(B128="female", 0, 1)</f>
        <v>0</v>
      </c>
      <c r="I128">
        <f>IF(C128= "yes", 1, 0)</f>
        <v>1</v>
      </c>
      <c r="J128">
        <v>19</v>
      </c>
      <c r="K128">
        <v>28.3</v>
      </c>
      <c r="L128">
        <v>0</v>
      </c>
      <c r="M128">
        <v>17081.080000000002</v>
      </c>
    </row>
    <row r="129" spans="1:13" x14ac:dyDescent="0.35">
      <c r="A129" t="s">
        <v>9</v>
      </c>
      <c r="B129" t="s">
        <v>7</v>
      </c>
      <c r="C129" t="s">
        <v>11</v>
      </c>
      <c r="H129">
        <f>IF(B129="female", 0, 1)</f>
        <v>0</v>
      </c>
      <c r="I129">
        <f>IF(C129= "yes", 1, 0)</f>
        <v>0</v>
      </c>
      <c r="J129">
        <v>52</v>
      </c>
      <c r="K129">
        <v>37.4</v>
      </c>
      <c r="L129">
        <v>0</v>
      </c>
      <c r="M129">
        <v>9634.5380000000005</v>
      </c>
    </row>
    <row r="130" spans="1:13" x14ac:dyDescent="0.35">
      <c r="A130" t="s">
        <v>13</v>
      </c>
      <c r="B130" t="s">
        <v>7</v>
      </c>
      <c r="C130" t="s">
        <v>8</v>
      </c>
      <c r="H130">
        <f>IF(B130="female", 0, 1)</f>
        <v>0</v>
      </c>
      <c r="I130">
        <f>IF(C130= "yes", 1, 0)</f>
        <v>1</v>
      </c>
      <c r="J130">
        <v>32</v>
      </c>
      <c r="K130">
        <v>17.765000000000001</v>
      </c>
      <c r="L130">
        <v>2</v>
      </c>
      <c r="M130">
        <v>32734.186300000001</v>
      </c>
    </row>
    <row r="131" spans="1:13" x14ac:dyDescent="0.35">
      <c r="A131" t="s">
        <v>9</v>
      </c>
      <c r="B131" t="s">
        <v>10</v>
      </c>
      <c r="C131" t="s">
        <v>11</v>
      </c>
      <c r="H131">
        <f>IF(B131="female", 0, 1)</f>
        <v>1</v>
      </c>
      <c r="I131">
        <f>IF(C131= "yes", 1, 0)</f>
        <v>0</v>
      </c>
      <c r="J131">
        <v>38</v>
      </c>
      <c r="K131">
        <v>34.700000000000003</v>
      </c>
      <c r="L131">
        <v>2</v>
      </c>
      <c r="M131">
        <v>6082.4049999999997</v>
      </c>
    </row>
    <row r="132" spans="1:13" x14ac:dyDescent="0.35">
      <c r="A132" t="s">
        <v>14</v>
      </c>
      <c r="B132" t="s">
        <v>7</v>
      </c>
      <c r="C132" t="s">
        <v>11</v>
      </c>
      <c r="H132">
        <f>IF(B132="female", 0, 1)</f>
        <v>0</v>
      </c>
      <c r="I132">
        <f>IF(C132= "yes", 1, 0)</f>
        <v>0</v>
      </c>
      <c r="J132">
        <v>59</v>
      </c>
      <c r="K132">
        <v>26.504999999999999</v>
      </c>
      <c r="L132">
        <v>0</v>
      </c>
      <c r="M132">
        <v>12815.444949999999</v>
      </c>
    </row>
    <row r="133" spans="1:13" x14ac:dyDescent="0.35">
      <c r="A133" t="s">
        <v>14</v>
      </c>
      <c r="B133" t="s">
        <v>7</v>
      </c>
      <c r="C133" t="s">
        <v>11</v>
      </c>
      <c r="H133">
        <f>IF(B133="female", 0, 1)</f>
        <v>0</v>
      </c>
      <c r="I133">
        <f>IF(C133= "yes", 1, 0)</f>
        <v>0</v>
      </c>
      <c r="J133">
        <v>61</v>
      </c>
      <c r="K133">
        <v>22.04</v>
      </c>
      <c r="L133">
        <v>0</v>
      </c>
      <c r="M133">
        <v>13616.3586</v>
      </c>
    </row>
    <row r="134" spans="1:13" x14ac:dyDescent="0.35">
      <c r="A134" t="s">
        <v>9</v>
      </c>
      <c r="B134" t="s">
        <v>7</v>
      </c>
      <c r="C134" t="s">
        <v>11</v>
      </c>
      <c r="H134">
        <f>IF(B134="female", 0, 1)</f>
        <v>0</v>
      </c>
      <c r="I134">
        <f>IF(C134= "yes", 1, 0)</f>
        <v>0</v>
      </c>
      <c r="J134">
        <v>53</v>
      </c>
      <c r="K134">
        <v>35.9</v>
      </c>
      <c r="L134">
        <v>2</v>
      </c>
      <c r="M134">
        <v>11163.567999999999</v>
      </c>
    </row>
    <row r="135" spans="1:13" x14ac:dyDescent="0.35">
      <c r="A135" t="s">
        <v>13</v>
      </c>
      <c r="B135" t="s">
        <v>10</v>
      </c>
      <c r="C135" t="s">
        <v>11</v>
      </c>
      <c r="H135">
        <f>IF(B135="female", 0, 1)</f>
        <v>1</v>
      </c>
      <c r="I135">
        <f>IF(C135= "yes", 1, 0)</f>
        <v>0</v>
      </c>
      <c r="J135">
        <v>19</v>
      </c>
      <c r="K135">
        <v>25.555</v>
      </c>
      <c r="L135">
        <v>0</v>
      </c>
      <c r="M135">
        <v>1632.5644500000001</v>
      </c>
    </row>
    <row r="136" spans="1:13" x14ac:dyDescent="0.35">
      <c r="A136" t="s">
        <v>14</v>
      </c>
      <c r="B136" t="s">
        <v>7</v>
      </c>
      <c r="C136" t="s">
        <v>11</v>
      </c>
      <c r="H136">
        <f>IF(B136="female", 0, 1)</f>
        <v>0</v>
      </c>
      <c r="I136">
        <f>IF(C136= "yes", 1, 0)</f>
        <v>0</v>
      </c>
      <c r="J136">
        <v>20</v>
      </c>
      <c r="K136">
        <v>28.785</v>
      </c>
      <c r="L136">
        <v>0</v>
      </c>
      <c r="M136">
        <v>2457.2111500000001</v>
      </c>
    </row>
    <row r="137" spans="1:13" x14ac:dyDescent="0.35">
      <c r="A137" t="s">
        <v>12</v>
      </c>
      <c r="B137" t="s">
        <v>7</v>
      </c>
      <c r="C137" t="s">
        <v>11</v>
      </c>
      <c r="H137">
        <f>IF(B137="female", 0, 1)</f>
        <v>0</v>
      </c>
      <c r="I137">
        <f>IF(C137= "yes", 1, 0)</f>
        <v>0</v>
      </c>
      <c r="J137">
        <v>22</v>
      </c>
      <c r="K137">
        <v>28.05</v>
      </c>
      <c r="L137">
        <v>0</v>
      </c>
      <c r="M137">
        <v>2155.6815000000001</v>
      </c>
    </row>
    <row r="138" spans="1:13" x14ac:dyDescent="0.35">
      <c r="A138" t="s">
        <v>9</v>
      </c>
      <c r="B138" t="s">
        <v>10</v>
      </c>
      <c r="C138" t="s">
        <v>11</v>
      </c>
      <c r="H138">
        <f>IF(B138="female", 0, 1)</f>
        <v>1</v>
      </c>
      <c r="I138">
        <f>IF(C138= "yes", 1, 0)</f>
        <v>0</v>
      </c>
      <c r="J138">
        <v>19</v>
      </c>
      <c r="K138">
        <v>34.1</v>
      </c>
      <c r="L138">
        <v>0</v>
      </c>
      <c r="M138">
        <v>1261.442</v>
      </c>
    </row>
    <row r="139" spans="1:13" x14ac:dyDescent="0.35">
      <c r="A139" t="s">
        <v>13</v>
      </c>
      <c r="B139" t="s">
        <v>10</v>
      </c>
      <c r="C139" t="s">
        <v>11</v>
      </c>
      <c r="H139">
        <f>IF(B139="female", 0, 1)</f>
        <v>1</v>
      </c>
      <c r="I139">
        <f>IF(C139= "yes", 1, 0)</f>
        <v>0</v>
      </c>
      <c r="J139">
        <v>22</v>
      </c>
      <c r="K139">
        <v>25.175000000000001</v>
      </c>
      <c r="L139">
        <v>0</v>
      </c>
      <c r="M139">
        <v>2045.68525</v>
      </c>
    </row>
    <row r="140" spans="1:13" x14ac:dyDescent="0.35">
      <c r="A140" t="s">
        <v>12</v>
      </c>
      <c r="B140" t="s">
        <v>7</v>
      </c>
      <c r="C140" t="s">
        <v>11</v>
      </c>
      <c r="H140">
        <f>IF(B140="female", 0, 1)</f>
        <v>0</v>
      </c>
      <c r="I140">
        <f>IF(C140= "yes", 1, 0)</f>
        <v>0</v>
      </c>
      <c r="J140">
        <v>54</v>
      </c>
      <c r="K140">
        <v>31.9</v>
      </c>
      <c r="L140">
        <v>3</v>
      </c>
      <c r="M140">
        <v>27322.73386</v>
      </c>
    </row>
    <row r="141" spans="1:13" x14ac:dyDescent="0.35">
      <c r="A141" t="s">
        <v>9</v>
      </c>
      <c r="B141" t="s">
        <v>7</v>
      </c>
      <c r="C141" t="s">
        <v>11</v>
      </c>
      <c r="H141">
        <f>IF(B141="female", 0, 1)</f>
        <v>0</v>
      </c>
      <c r="I141">
        <f>IF(C141= "yes", 1, 0)</f>
        <v>0</v>
      </c>
      <c r="J141">
        <v>22</v>
      </c>
      <c r="K141">
        <v>36</v>
      </c>
      <c r="L141">
        <v>0</v>
      </c>
      <c r="M141">
        <v>2166.732</v>
      </c>
    </row>
    <row r="142" spans="1:13" x14ac:dyDescent="0.35">
      <c r="A142" t="s">
        <v>14</v>
      </c>
      <c r="B142" t="s">
        <v>10</v>
      </c>
      <c r="C142" t="s">
        <v>11</v>
      </c>
      <c r="H142">
        <f>IF(B142="female", 0, 1)</f>
        <v>1</v>
      </c>
      <c r="I142">
        <f>IF(C142= "yes", 1, 0)</f>
        <v>0</v>
      </c>
      <c r="J142">
        <v>34</v>
      </c>
      <c r="K142">
        <v>22.42</v>
      </c>
      <c r="L142">
        <v>2</v>
      </c>
      <c r="M142">
        <v>27375.904780000001</v>
      </c>
    </row>
    <row r="143" spans="1:13" x14ac:dyDescent="0.35">
      <c r="A143" t="s">
        <v>14</v>
      </c>
      <c r="B143" t="s">
        <v>10</v>
      </c>
      <c r="C143" t="s">
        <v>11</v>
      </c>
      <c r="H143">
        <f>IF(B143="female", 0, 1)</f>
        <v>1</v>
      </c>
      <c r="I143">
        <f>IF(C143= "yes", 1, 0)</f>
        <v>0</v>
      </c>
      <c r="J143">
        <v>26</v>
      </c>
      <c r="K143">
        <v>32.49</v>
      </c>
      <c r="L143">
        <v>1</v>
      </c>
      <c r="M143">
        <v>3490.5491000000002</v>
      </c>
    </row>
    <row r="144" spans="1:13" x14ac:dyDescent="0.35">
      <c r="A144" t="s">
        <v>12</v>
      </c>
      <c r="B144" t="s">
        <v>10</v>
      </c>
      <c r="C144" t="s">
        <v>8</v>
      </c>
      <c r="H144">
        <f>IF(B144="female", 0, 1)</f>
        <v>1</v>
      </c>
      <c r="I144">
        <f>IF(C144= "yes", 1, 0)</f>
        <v>1</v>
      </c>
      <c r="J144">
        <v>34</v>
      </c>
      <c r="K144">
        <v>25.3</v>
      </c>
      <c r="L144">
        <v>2</v>
      </c>
      <c r="M144">
        <v>18972.494999999999</v>
      </c>
    </row>
    <row r="145" spans="1:13" x14ac:dyDescent="0.35">
      <c r="A145" t="s">
        <v>13</v>
      </c>
      <c r="B145" t="s">
        <v>10</v>
      </c>
      <c r="C145" t="s">
        <v>11</v>
      </c>
      <c r="H145">
        <f>IF(B145="female", 0, 1)</f>
        <v>1</v>
      </c>
      <c r="I145">
        <f>IF(C145= "yes", 1, 0)</f>
        <v>0</v>
      </c>
      <c r="J145">
        <v>29</v>
      </c>
      <c r="K145">
        <v>29.734999999999999</v>
      </c>
      <c r="L145">
        <v>2</v>
      </c>
      <c r="M145">
        <v>18157.876</v>
      </c>
    </row>
    <row r="146" spans="1:13" x14ac:dyDescent="0.35">
      <c r="A146" t="s">
        <v>13</v>
      </c>
      <c r="B146" t="s">
        <v>10</v>
      </c>
      <c r="C146" t="s">
        <v>8</v>
      </c>
      <c r="H146">
        <f>IF(B146="female", 0, 1)</f>
        <v>1</v>
      </c>
      <c r="I146">
        <f>IF(C146= "yes", 1, 0)</f>
        <v>1</v>
      </c>
      <c r="J146">
        <v>30</v>
      </c>
      <c r="K146">
        <v>28.69</v>
      </c>
      <c r="L146">
        <v>3</v>
      </c>
      <c r="M146">
        <v>20745.989099999999</v>
      </c>
    </row>
    <row r="147" spans="1:13" x14ac:dyDescent="0.35">
      <c r="A147" t="s">
        <v>12</v>
      </c>
      <c r="B147" t="s">
        <v>7</v>
      </c>
      <c r="C147" t="s">
        <v>11</v>
      </c>
      <c r="H147">
        <f>IF(B147="female", 0, 1)</f>
        <v>0</v>
      </c>
      <c r="I147">
        <f>IF(C147= "yes", 1, 0)</f>
        <v>0</v>
      </c>
      <c r="J147">
        <v>29</v>
      </c>
      <c r="K147">
        <v>38.83</v>
      </c>
      <c r="L147">
        <v>3</v>
      </c>
      <c r="M147">
        <v>5138.2566999999999</v>
      </c>
    </row>
    <row r="148" spans="1:13" x14ac:dyDescent="0.35">
      <c r="A148" t="s">
        <v>13</v>
      </c>
      <c r="B148" t="s">
        <v>10</v>
      </c>
      <c r="C148" t="s">
        <v>8</v>
      </c>
      <c r="H148">
        <f>IF(B148="female", 0, 1)</f>
        <v>1</v>
      </c>
      <c r="I148">
        <f>IF(C148= "yes", 1, 0)</f>
        <v>1</v>
      </c>
      <c r="J148">
        <v>46</v>
      </c>
      <c r="K148">
        <v>30.495000000000001</v>
      </c>
      <c r="L148">
        <v>3</v>
      </c>
      <c r="M148">
        <v>40720.551050000002</v>
      </c>
    </row>
    <row r="149" spans="1:13" x14ac:dyDescent="0.35">
      <c r="A149" t="s">
        <v>12</v>
      </c>
      <c r="B149" t="s">
        <v>7</v>
      </c>
      <c r="C149" t="s">
        <v>11</v>
      </c>
      <c r="H149">
        <f>IF(B149="female", 0, 1)</f>
        <v>0</v>
      </c>
      <c r="I149">
        <f>IF(C149= "yes", 1, 0)</f>
        <v>0</v>
      </c>
      <c r="J149">
        <v>51</v>
      </c>
      <c r="K149">
        <v>37.729999999999997</v>
      </c>
      <c r="L149">
        <v>1</v>
      </c>
      <c r="M149">
        <v>9877.6077000000005</v>
      </c>
    </row>
    <row r="150" spans="1:13" x14ac:dyDescent="0.35">
      <c r="A150" t="s">
        <v>13</v>
      </c>
      <c r="B150" t="s">
        <v>7</v>
      </c>
      <c r="C150" t="s">
        <v>11</v>
      </c>
      <c r="H150">
        <f>IF(B150="female", 0, 1)</f>
        <v>0</v>
      </c>
      <c r="I150">
        <f>IF(C150= "yes", 1, 0)</f>
        <v>0</v>
      </c>
      <c r="J150">
        <v>53</v>
      </c>
      <c r="K150">
        <v>37.43</v>
      </c>
      <c r="L150">
        <v>1</v>
      </c>
      <c r="M150">
        <v>10959.6947</v>
      </c>
    </row>
    <row r="151" spans="1:13" x14ac:dyDescent="0.35">
      <c r="A151" t="s">
        <v>9</v>
      </c>
      <c r="B151" t="s">
        <v>10</v>
      </c>
      <c r="C151" t="s">
        <v>11</v>
      </c>
      <c r="H151">
        <f>IF(B151="female", 0, 1)</f>
        <v>1</v>
      </c>
      <c r="I151">
        <f>IF(C151= "yes", 1, 0)</f>
        <v>0</v>
      </c>
      <c r="J151">
        <v>19</v>
      </c>
      <c r="K151">
        <v>28.4</v>
      </c>
      <c r="L151">
        <v>1</v>
      </c>
      <c r="M151">
        <v>1842.519</v>
      </c>
    </row>
    <row r="152" spans="1:13" x14ac:dyDescent="0.35">
      <c r="A152" t="s">
        <v>13</v>
      </c>
      <c r="B152" t="s">
        <v>10</v>
      </c>
      <c r="C152" t="s">
        <v>11</v>
      </c>
      <c r="H152">
        <f>IF(B152="female", 0, 1)</f>
        <v>1</v>
      </c>
      <c r="I152">
        <f>IF(C152= "yes", 1, 0)</f>
        <v>0</v>
      </c>
      <c r="J152">
        <v>35</v>
      </c>
      <c r="K152">
        <v>24.13</v>
      </c>
      <c r="L152">
        <v>1</v>
      </c>
      <c r="M152">
        <v>5125.2156999999997</v>
      </c>
    </row>
    <row r="153" spans="1:13" x14ac:dyDescent="0.35">
      <c r="A153" t="s">
        <v>12</v>
      </c>
      <c r="B153" t="s">
        <v>10</v>
      </c>
      <c r="C153" t="s">
        <v>11</v>
      </c>
      <c r="H153">
        <f>IF(B153="female", 0, 1)</f>
        <v>1</v>
      </c>
      <c r="I153">
        <f>IF(C153= "yes", 1, 0)</f>
        <v>0</v>
      </c>
      <c r="J153">
        <v>48</v>
      </c>
      <c r="K153">
        <v>29.7</v>
      </c>
      <c r="L153">
        <v>0</v>
      </c>
      <c r="M153">
        <v>7789.6350000000002</v>
      </c>
    </row>
    <row r="154" spans="1:13" x14ac:dyDescent="0.35">
      <c r="A154" t="s">
        <v>14</v>
      </c>
      <c r="B154" t="s">
        <v>7</v>
      </c>
      <c r="C154" t="s">
        <v>11</v>
      </c>
      <c r="H154">
        <f>IF(B154="female", 0, 1)</f>
        <v>0</v>
      </c>
      <c r="I154">
        <f>IF(C154= "yes", 1, 0)</f>
        <v>0</v>
      </c>
      <c r="J154">
        <v>32</v>
      </c>
      <c r="K154">
        <v>37.145000000000003</v>
      </c>
      <c r="L154">
        <v>3</v>
      </c>
      <c r="M154">
        <v>6334.3435499999996</v>
      </c>
    </row>
    <row r="155" spans="1:13" x14ac:dyDescent="0.35">
      <c r="A155" t="s">
        <v>14</v>
      </c>
      <c r="B155" t="s">
        <v>7</v>
      </c>
      <c r="C155" t="s">
        <v>8</v>
      </c>
      <c r="H155">
        <f>IF(B155="female", 0, 1)</f>
        <v>0</v>
      </c>
      <c r="I155">
        <f>IF(C155= "yes", 1, 0)</f>
        <v>1</v>
      </c>
      <c r="J155">
        <v>42</v>
      </c>
      <c r="K155">
        <v>23.37</v>
      </c>
      <c r="L155">
        <v>0</v>
      </c>
      <c r="M155">
        <v>19964.746299999999</v>
      </c>
    </row>
    <row r="156" spans="1:13" x14ac:dyDescent="0.35">
      <c r="A156" t="s">
        <v>14</v>
      </c>
      <c r="B156" t="s">
        <v>7</v>
      </c>
      <c r="C156" t="s">
        <v>11</v>
      </c>
      <c r="H156">
        <f>IF(B156="female", 0, 1)</f>
        <v>0</v>
      </c>
      <c r="I156">
        <f>IF(C156= "yes", 1, 0)</f>
        <v>0</v>
      </c>
      <c r="J156">
        <v>40</v>
      </c>
      <c r="K156">
        <v>25.46</v>
      </c>
      <c r="L156">
        <v>1</v>
      </c>
      <c r="M156">
        <v>7077.1894000000002</v>
      </c>
    </row>
    <row r="157" spans="1:13" x14ac:dyDescent="0.35">
      <c r="A157" t="s">
        <v>13</v>
      </c>
      <c r="B157" t="s">
        <v>10</v>
      </c>
      <c r="C157" t="s">
        <v>11</v>
      </c>
      <c r="H157">
        <f>IF(B157="female", 0, 1)</f>
        <v>1</v>
      </c>
      <c r="I157">
        <f>IF(C157= "yes", 1, 0)</f>
        <v>0</v>
      </c>
      <c r="J157">
        <v>44</v>
      </c>
      <c r="K157">
        <v>39.520000000000003</v>
      </c>
      <c r="L157">
        <v>0</v>
      </c>
      <c r="M157">
        <v>6948.7007999999996</v>
      </c>
    </row>
    <row r="158" spans="1:13" x14ac:dyDescent="0.35">
      <c r="A158" t="s">
        <v>12</v>
      </c>
      <c r="B158" t="s">
        <v>10</v>
      </c>
      <c r="C158" t="s">
        <v>8</v>
      </c>
      <c r="H158">
        <f>IF(B158="female", 0, 1)</f>
        <v>1</v>
      </c>
      <c r="I158">
        <f>IF(C158= "yes", 1, 0)</f>
        <v>1</v>
      </c>
      <c r="J158">
        <v>48</v>
      </c>
      <c r="K158">
        <v>24.42</v>
      </c>
      <c r="L158">
        <v>0</v>
      </c>
      <c r="M158">
        <v>21223.675800000001</v>
      </c>
    </row>
    <row r="159" spans="1:13" x14ac:dyDescent="0.35">
      <c r="A159" t="s">
        <v>14</v>
      </c>
      <c r="B159" t="s">
        <v>10</v>
      </c>
      <c r="C159" t="s">
        <v>8</v>
      </c>
      <c r="H159">
        <f>IF(B159="female", 0, 1)</f>
        <v>1</v>
      </c>
      <c r="I159">
        <f>IF(C159= "yes", 1, 0)</f>
        <v>1</v>
      </c>
      <c r="J159">
        <v>18</v>
      </c>
      <c r="K159">
        <v>25.175000000000001</v>
      </c>
      <c r="L159">
        <v>0</v>
      </c>
      <c r="M159">
        <v>15518.180249999999</v>
      </c>
    </row>
    <row r="160" spans="1:13" x14ac:dyDescent="0.35">
      <c r="A160" t="s">
        <v>12</v>
      </c>
      <c r="B160" t="s">
        <v>10</v>
      </c>
      <c r="C160" t="s">
        <v>8</v>
      </c>
      <c r="H160">
        <f>IF(B160="female", 0, 1)</f>
        <v>1</v>
      </c>
      <c r="I160">
        <f>IF(C160= "yes", 1, 0)</f>
        <v>1</v>
      </c>
      <c r="J160">
        <v>30</v>
      </c>
      <c r="K160">
        <v>35.53</v>
      </c>
      <c r="L160">
        <v>0</v>
      </c>
      <c r="M160">
        <v>36950.256699999998</v>
      </c>
    </row>
    <row r="161" spans="1:13" x14ac:dyDescent="0.35">
      <c r="A161" t="s">
        <v>12</v>
      </c>
      <c r="B161" t="s">
        <v>7</v>
      </c>
      <c r="C161" t="s">
        <v>11</v>
      </c>
      <c r="H161">
        <f>IF(B161="female", 0, 1)</f>
        <v>0</v>
      </c>
      <c r="I161">
        <f>IF(C161= "yes", 1, 0)</f>
        <v>0</v>
      </c>
      <c r="J161">
        <v>50</v>
      </c>
      <c r="K161">
        <v>27.83</v>
      </c>
      <c r="L161">
        <v>3</v>
      </c>
      <c r="M161">
        <v>19749.383379999999</v>
      </c>
    </row>
    <row r="162" spans="1:13" x14ac:dyDescent="0.35">
      <c r="A162" t="s">
        <v>13</v>
      </c>
      <c r="B162" t="s">
        <v>7</v>
      </c>
      <c r="C162" t="s">
        <v>8</v>
      </c>
      <c r="H162">
        <f>IF(B162="female", 0, 1)</f>
        <v>0</v>
      </c>
      <c r="I162">
        <f>IF(C162= "yes", 1, 0)</f>
        <v>1</v>
      </c>
      <c r="J162">
        <v>42</v>
      </c>
      <c r="K162">
        <v>26.6</v>
      </c>
      <c r="L162">
        <v>0</v>
      </c>
      <c r="M162">
        <v>21348.705999999998</v>
      </c>
    </row>
    <row r="163" spans="1:13" x14ac:dyDescent="0.35">
      <c r="A163" t="s">
        <v>12</v>
      </c>
      <c r="B163" t="s">
        <v>7</v>
      </c>
      <c r="C163" t="s">
        <v>8</v>
      </c>
      <c r="H163">
        <f>IF(B163="female", 0, 1)</f>
        <v>0</v>
      </c>
      <c r="I163">
        <f>IF(C163= "yes", 1, 0)</f>
        <v>1</v>
      </c>
      <c r="J163">
        <v>18</v>
      </c>
      <c r="K163">
        <v>36.85</v>
      </c>
      <c r="L163">
        <v>0</v>
      </c>
      <c r="M163">
        <v>36149.483500000002</v>
      </c>
    </row>
    <row r="164" spans="1:13" x14ac:dyDescent="0.35">
      <c r="A164" t="s">
        <v>9</v>
      </c>
      <c r="B164" t="s">
        <v>10</v>
      </c>
      <c r="C164" t="s">
        <v>11</v>
      </c>
      <c r="H164">
        <f>IF(B164="female", 0, 1)</f>
        <v>1</v>
      </c>
      <c r="I164">
        <f>IF(C164= "yes", 1, 0)</f>
        <v>0</v>
      </c>
      <c r="J164">
        <v>54</v>
      </c>
      <c r="K164">
        <v>39.6</v>
      </c>
      <c r="L164">
        <v>1</v>
      </c>
      <c r="M164">
        <v>10450.552</v>
      </c>
    </row>
    <row r="165" spans="1:13" x14ac:dyDescent="0.35">
      <c r="A165" t="s">
        <v>9</v>
      </c>
      <c r="B165" t="s">
        <v>7</v>
      </c>
      <c r="C165" t="s">
        <v>11</v>
      </c>
      <c r="H165">
        <f>IF(B165="female", 0, 1)</f>
        <v>0</v>
      </c>
      <c r="I165">
        <f>IF(C165= "yes", 1, 0)</f>
        <v>0</v>
      </c>
      <c r="J165">
        <v>32</v>
      </c>
      <c r="K165">
        <v>29.8</v>
      </c>
      <c r="L165">
        <v>2</v>
      </c>
      <c r="M165">
        <v>5152.134</v>
      </c>
    </row>
    <row r="166" spans="1:13" x14ac:dyDescent="0.35">
      <c r="A166" t="s">
        <v>13</v>
      </c>
      <c r="B166" t="s">
        <v>10</v>
      </c>
      <c r="C166" t="s">
        <v>11</v>
      </c>
      <c r="H166">
        <f>IF(B166="female", 0, 1)</f>
        <v>1</v>
      </c>
      <c r="I166">
        <f>IF(C166= "yes", 1, 0)</f>
        <v>0</v>
      </c>
      <c r="J166">
        <v>37</v>
      </c>
      <c r="K166">
        <v>29.64</v>
      </c>
      <c r="L166">
        <v>0</v>
      </c>
      <c r="M166">
        <v>5028.1466</v>
      </c>
    </row>
    <row r="167" spans="1:13" x14ac:dyDescent="0.35">
      <c r="A167" t="s">
        <v>14</v>
      </c>
      <c r="B167" t="s">
        <v>10</v>
      </c>
      <c r="C167" t="s">
        <v>11</v>
      </c>
      <c r="H167">
        <f>IF(B167="female", 0, 1)</f>
        <v>1</v>
      </c>
      <c r="I167">
        <f>IF(C167= "yes", 1, 0)</f>
        <v>0</v>
      </c>
      <c r="J167">
        <v>47</v>
      </c>
      <c r="K167">
        <v>28.215</v>
      </c>
      <c r="L167">
        <v>4</v>
      </c>
      <c r="M167">
        <v>10407.085849999999</v>
      </c>
    </row>
    <row r="168" spans="1:13" x14ac:dyDescent="0.35">
      <c r="A168" t="s">
        <v>9</v>
      </c>
      <c r="B168" t="s">
        <v>7</v>
      </c>
      <c r="C168" t="s">
        <v>11</v>
      </c>
      <c r="H168">
        <f>IF(B168="female", 0, 1)</f>
        <v>0</v>
      </c>
      <c r="I168">
        <f>IF(C168= "yes", 1, 0)</f>
        <v>0</v>
      </c>
      <c r="J168">
        <v>20</v>
      </c>
      <c r="K168">
        <v>37</v>
      </c>
      <c r="L168">
        <v>5</v>
      </c>
      <c r="M168">
        <v>4830.63</v>
      </c>
    </row>
    <row r="169" spans="1:13" x14ac:dyDescent="0.35">
      <c r="A169" t="s">
        <v>13</v>
      </c>
      <c r="B169" t="s">
        <v>7</v>
      </c>
      <c r="C169" t="s">
        <v>11</v>
      </c>
      <c r="H169">
        <f>IF(B169="female", 0, 1)</f>
        <v>0</v>
      </c>
      <c r="I169">
        <f>IF(C169= "yes", 1, 0)</f>
        <v>0</v>
      </c>
      <c r="J169">
        <v>32</v>
      </c>
      <c r="K169">
        <v>33.155000000000001</v>
      </c>
      <c r="L169">
        <v>3</v>
      </c>
      <c r="M169">
        <v>6128.79745</v>
      </c>
    </row>
    <row r="170" spans="1:13" x14ac:dyDescent="0.35">
      <c r="A170" t="s">
        <v>13</v>
      </c>
      <c r="B170" t="s">
        <v>7</v>
      </c>
      <c r="C170" t="s">
        <v>11</v>
      </c>
      <c r="H170">
        <f>IF(B170="female", 0, 1)</f>
        <v>0</v>
      </c>
      <c r="I170">
        <f>IF(C170= "yes", 1, 0)</f>
        <v>0</v>
      </c>
      <c r="J170">
        <v>19</v>
      </c>
      <c r="K170">
        <v>31.824999999999999</v>
      </c>
      <c r="L170">
        <v>1</v>
      </c>
      <c r="M170">
        <v>2719.2797500000001</v>
      </c>
    </row>
    <row r="171" spans="1:13" x14ac:dyDescent="0.35">
      <c r="A171" t="s">
        <v>14</v>
      </c>
      <c r="B171" t="s">
        <v>10</v>
      </c>
      <c r="C171" t="s">
        <v>11</v>
      </c>
      <c r="H171">
        <f>IF(B171="female", 0, 1)</f>
        <v>1</v>
      </c>
      <c r="I171">
        <f>IF(C171= "yes", 1, 0)</f>
        <v>0</v>
      </c>
      <c r="J171">
        <v>27</v>
      </c>
      <c r="K171">
        <v>18.905000000000001</v>
      </c>
      <c r="L171">
        <v>3</v>
      </c>
      <c r="M171">
        <v>4827.9049500000001</v>
      </c>
    </row>
    <row r="172" spans="1:13" x14ac:dyDescent="0.35">
      <c r="A172" t="s">
        <v>12</v>
      </c>
      <c r="B172" t="s">
        <v>10</v>
      </c>
      <c r="C172" t="s">
        <v>11</v>
      </c>
      <c r="H172">
        <f>IF(B172="female", 0, 1)</f>
        <v>1</v>
      </c>
      <c r="I172">
        <f>IF(C172= "yes", 1, 0)</f>
        <v>0</v>
      </c>
      <c r="J172">
        <v>63</v>
      </c>
      <c r="K172">
        <v>41.47</v>
      </c>
      <c r="L172">
        <v>0</v>
      </c>
      <c r="M172">
        <v>13405.390299999999</v>
      </c>
    </row>
    <row r="173" spans="1:13" x14ac:dyDescent="0.35">
      <c r="A173" t="s">
        <v>9</v>
      </c>
      <c r="B173" t="s">
        <v>10</v>
      </c>
      <c r="C173" t="s">
        <v>11</v>
      </c>
      <c r="H173">
        <f>IF(B173="female", 0, 1)</f>
        <v>1</v>
      </c>
      <c r="I173">
        <f>IF(C173= "yes", 1, 0)</f>
        <v>0</v>
      </c>
      <c r="J173">
        <v>49</v>
      </c>
      <c r="K173">
        <v>30.3</v>
      </c>
      <c r="L173">
        <v>0</v>
      </c>
      <c r="M173">
        <v>8116.68</v>
      </c>
    </row>
    <row r="174" spans="1:13" x14ac:dyDescent="0.35">
      <c r="A174" t="s">
        <v>14</v>
      </c>
      <c r="B174" t="s">
        <v>10</v>
      </c>
      <c r="C174" t="s">
        <v>11</v>
      </c>
      <c r="H174">
        <f>IF(B174="female", 0, 1)</f>
        <v>1</v>
      </c>
      <c r="I174">
        <f>IF(C174= "yes", 1, 0)</f>
        <v>0</v>
      </c>
      <c r="J174">
        <v>18</v>
      </c>
      <c r="K174">
        <v>15.96</v>
      </c>
      <c r="L174">
        <v>0</v>
      </c>
      <c r="M174">
        <v>1694.7963999999999</v>
      </c>
    </row>
    <row r="175" spans="1:13" x14ac:dyDescent="0.35">
      <c r="A175" t="s">
        <v>9</v>
      </c>
      <c r="B175" t="s">
        <v>7</v>
      </c>
      <c r="C175" t="s">
        <v>11</v>
      </c>
      <c r="H175">
        <f>IF(B175="female", 0, 1)</f>
        <v>0</v>
      </c>
      <c r="I175">
        <f>IF(C175= "yes", 1, 0)</f>
        <v>0</v>
      </c>
      <c r="J175">
        <v>35</v>
      </c>
      <c r="K175">
        <v>34.799999999999997</v>
      </c>
      <c r="L175">
        <v>1</v>
      </c>
      <c r="M175">
        <v>5246.0469999999996</v>
      </c>
    </row>
    <row r="176" spans="1:13" x14ac:dyDescent="0.35">
      <c r="A176" t="s">
        <v>13</v>
      </c>
      <c r="B176" t="s">
        <v>7</v>
      </c>
      <c r="C176" t="s">
        <v>11</v>
      </c>
      <c r="H176">
        <f>IF(B176="female", 0, 1)</f>
        <v>0</v>
      </c>
      <c r="I176">
        <f>IF(C176= "yes", 1, 0)</f>
        <v>0</v>
      </c>
      <c r="J176">
        <v>24</v>
      </c>
      <c r="K176">
        <v>33.344999999999999</v>
      </c>
      <c r="L176">
        <v>0</v>
      </c>
      <c r="M176">
        <v>2855.4375500000001</v>
      </c>
    </row>
    <row r="177" spans="1:13" x14ac:dyDescent="0.35">
      <c r="A177" t="s">
        <v>9</v>
      </c>
      <c r="B177" t="s">
        <v>7</v>
      </c>
      <c r="C177" t="s">
        <v>8</v>
      </c>
      <c r="H177">
        <f>IF(B177="female", 0, 1)</f>
        <v>0</v>
      </c>
      <c r="I177">
        <f>IF(C177= "yes", 1, 0)</f>
        <v>1</v>
      </c>
      <c r="J177">
        <v>63</v>
      </c>
      <c r="K177">
        <v>37.700000000000003</v>
      </c>
      <c r="L177">
        <v>0</v>
      </c>
      <c r="M177">
        <v>48824.45</v>
      </c>
    </row>
    <row r="178" spans="1:13" x14ac:dyDescent="0.35">
      <c r="A178" t="s">
        <v>13</v>
      </c>
      <c r="B178" t="s">
        <v>10</v>
      </c>
      <c r="C178" t="s">
        <v>11</v>
      </c>
      <c r="H178">
        <f>IF(B178="female", 0, 1)</f>
        <v>1</v>
      </c>
      <c r="I178">
        <f>IF(C178= "yes", 1, 0)</f>
        <v>0</v>
      </c>
      <c r="J178">
        <v>38</v>
      </c>
      <c r="K178">
        <v>27.835000000000001</v>
      </c>
      <c r="L178">
        <v>2</v>
      </c>
      <c r="M178">
        <v>6455.86265</v>
      </c>
    </row>
    <row r="179" spans="1:13" x14ac:dyDescent="0.35">
      <c r="A179" t="s">
        <v>9</v>
      </c>
      <c r="B179" t="s">
        <v>10</v>
      </c>
      <c r="C179" t="s">
        <v>11</v>
      </c>
      <c r="H179">
        <f>IF(B179="female", 0, 1)</f>
        <v>1</v>
      </c>
      <c r="I179">
        <f>IF(C179= "yes", 1, 0)</f>
        <v>0</v>
      </c>
      <c r="J179">
        <v>54</v>
      </c>
      <c r="K179">
        <v>29.2</v>
      </c>
      <c r="L179">
        <v>1</v>
      </c>
      <c r="M179">
        <v>10436.096</v>
      </c>
    </row>
    <row r="180" spans="1:13" x14ac:dyDescent="0.35">
      <c r="A180" t="s">
        <v>9</v>
      </c>
      <c r="B180" t="s">
        <v>7</v>
      </c>
      <c r="C180" t="s">
        <v>11</v>
      </c>
      <c r="H180">
        <f>IF(B180="female", 0, 1)</f>
        <v>0</v>
      </c>
      <c r="I180">
        <f>IF(C180= "yes", 1, 0)</f>
        <v>0</v>
      </c>
      <c r="J180">
        <v>46</v>
      </c>
      <c r="K180">
        <v>28.9</v>
      </c>
      <c r="L180">
        <v>2</v>
      </c>
      <c r="M180">
        <v>8823.2790000000005</v>
      </c>
    </row>
    <row r="181" spans="1:13" x14ac:dyDescent="0.35">
      <c r="A181" t="s">
        <v>14</v>
      </c>
      <c r="B181" t="s">
        <v>7</v>
      </c>
      <c r="C181" t="s">
        <v>11</v>
      </c>
      <c r="H181">
        <f>IF(B181="female", 0, 1)</f>
        <v>0</v>
      </c>
      <c r="I181">
        <f>IF(C181= "yes", 1, 0)</f>
        <v>0</v>
      </c>
      <c r="J181">
        <v>41</v>
      </c>
      <c r="K181">
        <v>33.155000000000001</v>
      </c>
      <c r="L181">
        <v>3</v>
      </c>
      <c r="M181">
        <v>8538.28845</v>
      </c>
    </row>
    <row r="182" spans="1:13" x14ac:dyDescent="0.35">
      <c r="A182" t="s">
        <v>13</v>
      </c>
      <c r="B182" t="s">
        <v>10</v>
      </c>
      <c r="C182" t="s">
        <v>11</v>
      </c>
      <c r="H182">
        <f>IF(B182="female", 0, 1)</f>
        <v>1</v>
      </c>
      <c r="I182">
        <f>IF(C182= "yes", 1, 0)</f>
        <v>0</v>
      </c>
      <c r="J182">
        <v>58</v>
      </c>
      <c r="K182">
        <v>28.594999999999999</v>
      </c>
      <c r="L182">
        <v>0</v>
      </c>
      <c r="M182">
        <v>11735.87905</v>
      </c>
    </row>
    <row r="183" spans="1:13" x14ac:dyDescent="0.35">
      <c r="A183" t="s">
        <v>12</v>
      </c>
      <c r="B183" t="s">
        <v>7</v>
      </c>
      <c r="C183" t="s">
        <v>11</v>
      </c>
      <c r="H183">
        <f>IF(B183="female", 0, 1)</f>
        <v>0</v>
      </c>
      <c r="I183">
        <f>IF(C183= "yes", 1, 0)</f>
        <v>0</v>
      </c>
      <c r="J183">
        <v>18</v>
      </c>
      <c r="K183">
        <v>38.28</v>
      </c>
      <c r="L183">
        <v>0</v>
      </c>
      <c r="M183">
        <v>1631.8212000000001</v>
      </c>
    </row>
    <row r="184" spans="1:13" x14ac:dyDescent="0.35">
      <c r="A184" t="s">
        <v>14</v>
      </c>
      <c r="B184" t="s">
        <v>10</v>
      </c>
      <c r="C184" t="s">
        <v>11</v>
      </c>
      <c r="H184">
        <f>IF(B184="female", 0, 1)</f>
        <v>1</v>
      </c>
      <c r="I184">
        <f>IF(C184= "yes", 1, 0)</f>
        <v>0</v>
      </c>
      <c r="J184">
        <v>22</v>
      </c>
      <c r="K184">
        <v>19.95</v>
      </c>
      <c r="L184">
        <v>3</v>
      </c>
      <c r="M184">
        <v>4005.4225000000001</v>
      </c>
    </row>
    <row r="185" spans="1:13" x14ac:dyDescent="0.35">
      <c r="A185" t="s">
        <v>13</v>
      </c>
      <c r="B185" t="s">
        <v>7</v>
      </c>
      <c r="C185" t="s">
        <v>11</v>
      </c>
      <c r="H185">
        <f>IF(B185="female", 0, 1)</f>
        <v>0</v>
      </c>
      <c r="I185">
        <f>IF(C185= "yes", 1, 0)</f>
        <v>0</v>
      </c>
      <c r="J185">
        <v>44</v>
      </c>
      <c r="K185">
        <v>26.41</v>
      </c>
      <c r="L185">
        <v>0</v>
      </c>
      <c r="M185">
        <v>7419.4778999999999</v>
      </c>
    </row>
    <row r="186" spans="1:13" x14ac:dyDescent="0.35">
      <c r="A186" t="s">
        <v>12</v>
      </c>
      <c r="B186" t="s">
        <v>10</v>
      </c>
      <c r="C186" t="s">
        <v>11</v>
      </c>
      <c r="H186">
        <f>IF(B186="female", 0, 1)</f>
        <v>1</v>
      </c>
      <c r="I186">
        <f>IF(C186= "yes", 1, 0)</f>
        <v>0</v>
      </c>
      <c r="J186">
        <v>44</v>
      </c>
      <c r="K186">
        <v>30.69</v>
      </c>
      <c r="L186">
        <v>2</v>
      </c>
      <c r="M186">
        <v>7731.4270999999999</v>
      </c>
    </row>
    <row r="187" spans="1:13" x14ac:dyDescent="0.35">
      <c r="A187" t="s">
        <v>14</v>
      </c>
      <c r="B187" t="s">
        <v>10</v>
      </c>
      <c r="C187" t="s">
        <v>8</v>
      </c>
      <c r="H187">
        <f>IF(B187="female", 0, 1)</f>
        <v>1</v>
      </c>
      <c r="I187">
        <f>IF(C187= "yes", 1, 0)</f>
        <v>1</v>
      </c>
      <c r="J187">
        <v>36</v>
      </c>
      <c r="K187">
        <v>41.895000000000003</v>
      </c>
      <c r="L187">
        <v>3</v>
      </c>
      <c r="M187">
        <v>43753.337050000002</v>
      </c>
    </row>
    <row r="188" spans="1:13" x14ac:dyDescent="0.35">
      <c r="A188" t="s">
        <v>12</v>
      </c>
      <c r="B188" t="s">
        <v>7</v>
      </c>
      <c r="C188" t="s">
        <v>11</v>
      </c>
      <c r="H188">
        <f>IF(B188="female", 0, 1)</f>
        <v>0</v>
      </c>
      <c r="I188">
        <f>IF(C188= "yes", 1, 0)</f>
        <v>0</v>
      </c>
      <c r="J188">
        <v>26</v>
      </c>
      <c r="K188">
        <v>29.92</v>
      </c>
      <c r="L188">
        <v>2</v>
      </c>
      <c r="M188">
        <v>3981.9767999999999</v>
      </c>
    </row>
    <row r="189" spans="1:13" x14ac:dyDescent="0.35">
      <c r="A189" t="s">
        <v>9</v>
      </c>
      <c r="B189" t="s">
        <v>7</v>
      </c>
      <c r="C189" t="s">
        <v>11</v>
      </c>
      <c r="H189">
        <f>IF(B189="female", 0, 1)</f>
        <v>0</v>
      </c>
      <c r="I189">
        <f>IF(C189= "yes", 1, 0)</f>
        <v>0</v>
      </c>
      <c r="J189">
        <v>30</v>
      </c>
      <c r="K189">
        <v>30.9</v>
      </c>
      <c r="L189">
        <v>3</v>
      </c>
      <c r="M189">
        <v>5325.6509999999998</v>
      </c>
    </row>
    <row r="190" spans="1:13" x14ac:dyDescent="0.35">
      <c r="A190" t="s">
        <v>9</v>
      </c>
      <c r="B190" t="s">
        <v>7</v>
      </c>
      <c r="C190" t="s">
        <v>11</v>
      </c>
      <c r="H190">
        <f>IF(B190="female", 0, 1)</f>
        <v>0</v>
      </c>
      <c r="I190">
        <f>IF(C190= "yes", 1, 0)</f>
        <v>0</v>
      </c>
      <c r="J190">
        <v>41</v>
      </c>
      <c r="K190">
        <v>32.200000000000003</v>
      </c>
      <c r="L190">
        <v>1</v>
      </c>
      <c r="M190">
        <v>6775.9610000000002</v>
      </c>
    </row>
    <row r="191" spans="1:13" x14ac:dyDescent="0.35">
      <c r="A191" t="s">
        <v>13</v>
      </c>
      <c r="B191" t="s">
        <v>7</v>
      </c>
      <c r="C191" t="s">
        <v>11</v>
      </c>
      <c r="H191">
        <f>IF(B191="female", 0, 1)</f>
        <v>0</v>
      </c>
      <c r="I191">
        <f>IF(C191= "yes", 1, 0)</f>
        <v>0</v>
      </c>
      <c r="J191">
        <v>29</v>
      </c>
      <c r="K191">
        <v>32.11</v>
      </c>
      <c r="L191">
        <v>2</v>
      </c>
      <c r="M191">
        <v>4922.9159</v>
      </c>
    </row>
    <row r="192" spans="1:13" x14ac:dyDescent="0.35">
      <c r="A192" t="s">
        <v>12</v>
      </c>
      <c r="B192" t="s">
        <v>10</v>
      </c>
      <c r="C192" t="s">
        <v>11</v>
      </c>
      <c r="H192">
        <f>IF(B192="female", 0, 1)</f>
        <v>1</v>
      </c>
      <c r="I192">
        <f>IF(C192= "yes", 1, 0)</f>
        <v>0</v>
      </c>
      <c r="J192">
        <v>61</v>
      </c>
      <c r="K192">
        <v>31.57</v>
      </c>
      <c r="L192">
        <v>0</v>
      </c>
      <c r="M192">
        <v>12557.605299999999</v>
      </c>
    </row>
    <row r="193" spans="1:13" x14ac:dyDescent="0.35">
      <c r="A193" t="s">
        <v>9</v>
      </c>
      <c r="B193" t="s">
        <v>7</v>
      </c>
      <c r="C193" t="s">
        <v>11</v>
      </c>
      <c r="H193">
        <f>IF(B193="female", 0, 1)</f>
        <v>0</v>
      </c>
      <c r="I193">
        <f>IF(C193= "yes", 1, 0)</f>
        <v>0</v>
      </c>
      <c r="J193">
        <v>36</v>
      </c>
      <c r="K193">
        <v>26.2</v>
      </c>
      <c r="L193">
        <v>0</v>
      </c>
      <c r="M193">
        <v>4883.866</v>
      </c>
    </row>
    <row r="194" spans="1:13" x14ac:dyDescent="0.35">
      <c r="A194" t="s">
        <v>12</v>
      </c>
      <c r="B194" t="s">
        <v>10</v>
      </c>
      <c r="C194" t="s">
        <v>11</v>
      </c>
      <c r="H194">
        <f>IF(B194="female", 0, 1)</f>
        <v>1</v>
      </c>
      <c r="I194">
        <f>IF(C194= "yes", 1, 0)</f>
        <v>0</v>
      </c>
      <c r="J194">
        <v>25</v>
      </c>
      <c r="K194">
        <v>25.74</v>
      </c>
      <c r="L194">
        <v>0</v>
      </c>
      <c r="M194">
        <v>2137.6536000000001</v>
      </c>
    </row>
    <row r="195" spans="1:13" x14ac:dyDescent="0.35">
      <c r="A195" t="s">
        <v>13</v>
      </c>
      <c r="B195" t="s">
        <v>7</v>
      </c>
      <c r="C195" t="s">
        <v>11</v>
      </c>
      <c r="H195">
        <f>IF(B195="female", 0, 1)</f>
        <v>0</v>
      </c>
      <c r="I195">
        <f>IF(C195= "yes", 1, 0)</f>
        <v>0</v>
      </c>
      <c r="J195">
        <v>56</v>
      </c>
      <c r="K195">
        <v>26.6</v>
      </c>
      <c r="L195">
        <v>1</v>
      </c>
      <c r="M195">
        <v>12044.342000000001</v>
      </c>
    </row>
    <row r="196" spans="1:13" x14ac:dyDescent="0.35">
      <c r="A196" t="s">
        <v>12</v>
      </c>
      <c r="B196" t="s">
        <v>10</v>
      </c>
      <c r="C196" t="s">
        <v>11</v>
      </c>
      <c r="H196">
        <f>IF(B196="female", 0, 1)</f>
        <v>1</v>
      </c>
      <c r="I196">
        <f>IF(C196= "yes", 1, 0)</f>
        <v>0</v>
      </c>
      <c r="J196">
        <v>18</v>
      </c>
      <c r="K196">
        <v>34.43</v>
      </c>
      <c r="L196">
        <v>0</v>
      </c>
      <c r="M196">
        <v>1137.4697000000001</v>
      </c>
    </row>
    <row r="197" spans="1:13" x14ac:dyDescent="0.35">
      <c r="A197" t="s">
        <v>13</v>
      </c>
      <c r="B197" t="s">
        <v>10</v>
      </c>
      <c r="C197" t="s">
        <v>11</v>
      </c>
      <c r="H197">
        <f>IF(B197="female", 0, 1)</f>
        <v>1</v>
      </c>
      <c r="I197">
        <f>IF(C197= "yes", 1, 0)</f>
        <v>0</v>
      </c>
      <c r="J197">
        <v>19</v>
      </c>
      <c r="K197">
        <v>30.59</v>
      </c>
      <c r="L197">
        <v>0</v>
      </c>
      <c r="M197">
        <v>1639.5631000000001</v>
      </c>
    </row>
    <row r="198" spans="1:13" x14ac:dyDescent="0.35">
      <c r="A198" t="s">
        <v>9</v>
      </c>
      <c r="B198" t="s">
        <v>7</v>
      </c>
      <c r="C198" t="s">
        <v>11</v>
      </c>
      <c r="H198">
        <f>IF(B198="female", 0, 1)</f>
        <v>0</v>
      </c>
      <c r="I198">
        <f>IF(C198= "yes", 1, 0)</f>
        <v>0</v>
      </c>
      <c r="J198">
        <v>39</v>
      </c>
      <c r="K198">
        <v>32.799999999999997</v>
      </c>
      <c r="L198">
        <v>0</v>
      </c>
      <c r="M198">
        <v>5649.7150000000001</v>
      </c>
    </row>
    <row r="199" spans="1:13" x14ac:dyDescent="0.35">
      <c r="A199" t="s">
        <v>12</v>
      </c>
      <c r="B199" t="s">
        <v>7</v>
      </c>
      <c r="C199" t="s">
        <v>11</v>
      </c>
      <c r="H199">
        <f>IF(B199="female", 0, 1)</f>
        <v>0</v>
      </c>
      <c r="I199">
        <f>IF(C199= "yes", 1, 0)</f>
        <v>0</v>
      </c>
      <c r="J199">
        <v>45</v>
      </c>
      <c r="K199">
        <v>28.6</v>
      </c>
      <c r="L199">
        <v>2</v>
      </c>
      <c r="M199">
        <v>8516.8289999999997</v>
      </c>
    </row>
    <row r="200" spans="1:13" x14ac:dyDescent="0.35">
      <c r="A200" t="s">
        <v>13</v>
      </c>
      <c r="B200" t="s">
        <v>7</v>
      </c>
      <c r="C200" t="s">
        <v>11</v>
      </c>
      <c r="H200">
        <f>IF(B200="female", 0, 1)</f>
        <v>0</v>
      </c>
      <c r="I200">
        <f>IF(C200= "yes", 1, 0)</f>
        <v>0</v>
      </c>
      <c r="J200">
        <v>51</v>
      </c>
      <c r="K200">
        <v>18.05</v>
      </c>
      <c r="L200">
        <v>0</v>
      </c>
      <c r="M200">
        <v>9644.2525000000005</v>
      </c>
    </row>
    <row r="201" spans="1:13" x14ac:dyDescent="0.35">
      <c r="A201" t="s">
        <v>14</v>
      </c>
      <c r="B201" t="s">
        <v>7</v>
      </c>
      <c r="C201" t="s">
        <v>11</v>
      </c>
      <c r="H201">
        <f>IF(B201="female", 0, 1)</f>
        <v>0</v>
      </c>
      <c r="I201">
        <f>IF(C201= "yes", 1, 0)</f>
        <v>0</v>
      </c>
      <c r="J201">
        <v>64</v>
      </c>
      <c r="K201">
        <v>39.33</v>
      </c>
      <c r="L201">
        <v>0</v>
      </c>
      <c r="M201">
        <v>14901.5167</v>
      </c>
    </row>
    <row r="202" spans="1:13" x14ac:dyDescent="0.35">
      <c r="A202" t="s">
        <v>13</v>
      </c>
      <c r="B202" t="s">
        <v>7</v>
      </c>
      <c r="C202" t="s">
        <v>11</v>
      </c>
      <c r="H202">
        <f>IF(B202="female", 0, 1)</f>
        <v>0</v>
      </c>
      <c r="I202">
        <f>IF(C202= "yes", 1, 0)</f>
        <v>0</v>
      </c>
      <c r="J202">
        <v>19</v>
      </c>
      <c r="K202">
        <v>32.11</v>
      </c>
      <c r="L202">
        <v>0</v>
      </c>
      <c r="M202">
        <v>2130.6759000000002</v>
      </c>
    </row>
    <row r="203" spans="1:13" x14ac:dyDescent="0.35">
      <c r="A203" t="s">
        <v>12</v>
      </c>
      <c r="B203" t="s">
        <v>7</v>
      </c>
      <c r="C203" t="s">
        <v>11</v>
      </c>
      <c r="H203">
        <f>IF(B203="female", 0, 1)</f>
        <v>0</v>
      </c>
      <c r="I203">
        <f>IF(C203= "yes", 1, 0)</f>
        <v>0</v>
      </c>
      <c r="J203">
        <v>48</v>
      </c>
      <c r="K203">
        <v>32.229999999999997</v>
      </c>
      <c r="L203">
        <v>1</v>
      </c>
      <c r="M203">
        <v>8871.1517000000003</v>
      </c>
    </row>
    <row r="204" spans="1:13" x14ac:dyDescent="0.35">
      <c r="A204" t="s">
        <v>13</v>
      </c>
      <c r="B204" t="s">
        <v>7</v>
      </c>
      <c r="C204" t="s">
        <v>11</v>
      </c>
      <c r="H204">
        <f>IF(B204="female", 0, 1)</f>
        <v>0</v>
      </c>
      <c r="I204">
        <f>IF(C204= "yes", 1, 0)</f>
        <v>0</v>
      </c>
      <c r="J204">
        <v>60</v>
      </c>
      <c r="K204">
        <v>24.035</v>
      </c>
      <c r="L204">
        <v>0</v>
      </c>
      <c r="M204">
        <v>13012.20865</v>
      </c>
    </row>
    <row r="205" spans="1:13" x14ac:dyDescent="0.35">
      <c r="A205" t="s">
        <v>12</v>
      </c>
      <c r="B205" t="s">
        <v>7</v>
      </c>
      <c r="C205" t="s">
        <v>8</v>
      </c>
      <c r="H205">
        <f>IF(B205="female", 0, 1)</f>
        <v>0</v>
      </c>
      <c r="I205">
        <f>IF(C205= "yes", 1, 0)</f>
        <v>1</v>
      </c>
      <c r="J205">
        <v>27</v>
      </c>
      <c r="K205">
        <v>36.08</v>
      </c>
      <c r="L205">
        <v>0</v>
      </c>
      <c r="M205">
        <v>37133.898200000003</v>
      </c>
    </row>
    <row r="206" spans="1:13" x14ac:dyDescent="0.35">
      <c r="A206" t="s">
        <v>9</v>
      </c>
      <c r="B206" t="s">
        <v>10</v>
      </c>
      <c r="C206" t="s">
        <v>11</v>
      </c>
      <c r="H206">
        <f>IF(B206="female", 0, 1)</f>
        <v>1</v>
      </c>
      <c r="I206">
        <f>IF(C206= "yes", 1, 0)</f>
        <v>0</v>
      </c>
      <c r="J206">
        <v>46</v>
      </c>
      <c r="K206">
        <v>22.3</v>
      </c>
      <c r="L206">
        <v>0</v>
      </c>
      <c r="M206">
        <v>7147.1049999999996</v>
      </c>
    </row>
    <row r="207" spans="1:13" x14ac:dyDescent="0.35">
      <c r="A207" t="s">
        <v>14</v>
      </c>
      <c r="B207" t="s">
        <v>7</v>
      </c>
      <c r="C207" t="s">
        <v>11</v>
      </c>
      <c r="H207">
        <f>IF(B207="female", 0, 1)</f>
        <v>0</v>
      </c>
      <c r="I207">
        <f>IF(C207= "yes", 1, 0)</f>
        <v>0</v>
      </c>
      <c r="J207">
        <v>28</v>
      </c>
      <c r="K207">
        <v>28.88</v>
      </c>
      <c r="L207">
        <v>1</v>
      </c>
      <c r="M207">
        <v>4337.7352000000001</v>
      </c>
    </row>
    <row r="208" spans="1:13" x14ac:dyDescent="0.35">
      <c r="A208" t="s">
        <v>12</v>
      </c>
      <c r="B208" t="s">
        <v>10</v>
      </c>
      <c r="C208" t="s">
        <v>11</v>
      </c>
      <c r="H208">
        <f>IF(B208="female", 0, 1)</f>
        <v>1</v>
      </c>
      <c r="I208">
        <f>IF(C208= "yes", 1, 0)</f>
        <v>0</v>
      </c>
      <c r="J208">
        <v>59</v>
      </c>
      <c r="K208">
        <v>26.4</v>
      </c>
      <c r="L208">
        <v>0</v>
      </c>
      <c r="M208">
        <v>11743.299000000001</v>
      </c>
    </row>
    <row r="209" spans="1:13" x14ac:dyDescent="0.35">
      <c r="A209" t="s">
        <v>14</v>
      </c>
      <c r="B209" t="s">
        <v>10</v>
      </c>
      <c r="C209" t="s">
        <v>8</v>
      </c>
      <c r="H209">
        <f>IF(B209="female", 0, 1)</f>
        <v>1</v>
      </c>
      <c r="I209">
        <f>IF(C209= "yes", 1, 0)</f>
        <v>1</v>
      </c>
      <c r="J209">
        <v>35</v>
      </c>
      <c r="K209">
        <v>27.74</v>
      </c>
      <c r="L209">
        <v>2</v>
      </c>
      <c r="M209">
        <v>20984.0936</v>
      </c>
    </row>
    <row r="210" spans="1:13" x14ac:dyDescent="0.35">
      <c r="A210" t="s">
        <v>9</v>
      </c>
      <c r="B210" t="s">
        <v>7</v>
      </c>
      <c r="C210" t="s">
        <v>11</v>
      </c>
      <c r="H210">
        <f>IF(B210="female", 0, 1)</f>
        <v>0</v>
      </c>
      <c r="I210">
        <f>IF(C210= "yes", 1, 0)</f>
        <v>0</v>
      </c>
      <c r="J210">
        <v>63</v>
      </c>
      <c r="K210">
        <v>31.8</v>
      </c>
      <c r="L210">
        <v>0</v>
      </c>
      <c r="M210">
        <v>13880.949000000001</v>
      </c>
    </row>
    <row r="211" spans="1:13" x14ac:dyDescent="0.35">
      <c r="A211" t="s">
        <v>14</v>
      </c>
      <c r="B211" t="s">
        <v>10</v>
      </c>
      <c r="C211" t="s">
        <v>11</v>
      </c>
      <c r="H211">
        <f>IF(B211="female", 0, 1)</f>
        <v>1</v>
      </c>
      <c r="I211">
        <f>IF(C211= "yes", 1, 0)</f>
        <v>0</v>
      </c>
      <c r="J211">
        <v>40</v>
      </c>
      <c r="K211">
        <v>41.23</v>
      </c>
      <c r="L211">
        <v>1</v>
      </c>
      <c r="M211">
        <v>6610.1097</v>
      </c>
    </row>
    <row r="212" spans="1:13" x14ac:dyDescent="0.35">
      <c r="A212" t="s">
        <v>9</v>
      </c>
      <c r="B212" t="s">
        <v>10</v>
      </c>
      <c r="C212" t="s">
        <v>11</v>
      </c>
      <c r="H212">
        <f>IF(B212="female", 0, 1)</f>
        <v>1</v>
      </c>
      <c r="I212">
        <f>IF(C212= "yes", 1, 0)</f>
        <v>0</v>
      </c>
      <c r="J212">
        <v>20</v>
      </c>
      <c r="K212">
        <v>33</v>
      </c>
      <c r="L212">
        <v>1</v>
      </c>
      <c r="M212">
        <v>1980.07</v>
      </c>
    </row>
    <row r="213" spans="1:13" x14ac:dyDescent="0.35">
      <c r="A213" t="s">
        <v>13</v>
      </c>
      <c r="B213" t="s">
        <v>10</v>
      </c>
      <c r="C213" t="s">
        <v>11</v>
      </c>
      <c r="H213">
        <f>IF(B213="female", 0, 1)</f>
        <v>1</v>
      </c>
      <c r="I213">
        <f>IF(C213= "yes", 1, 0)</f>
        <v>0</v>
      </c>
      <c r="J213">
        <v>40</v>
      </c>
      <c r="K213">
        <v>30.875</v>
      </c>
      <c r="L213">
        <v>4</v>
      </c>
      <c r="M213">
        <v>8162.7162500000004</v>
      </c>
    </row>
    <row r="214" spans="1:13" x14ac:dyDescent="0.35">
      <c r="A214" t="s">
        <v>13</v>
      </c>
      <c r="B214" t="s">
        <v>10</v>
      </c>
      <c r="C214" t="s">
        <v>11</v>
      </c>
      <c r="H214">
        <f>IF(B214="female", 0, 1)</f>
        <v>1</v>
      </c>
      <c r="I214">
        <f>IF(C214= "yes", 1, 0)</f>
        <v>0</v>
      </c>
      <c r="J214">
        <v>24</v>
      </c>
      <c r="K214">
        <v>28.5</v>
      </c>
      <c r="L214">
        <v>2</v>
      </c>
      <c r="M214">
        <v>3537.703</v>
      </c>
    </row>
    <row r="215" spans="1:13" x14ac:dyDescent="0.35">
      <c r="A215" t="s">
        <v>12</v>
      </c>
      <c r="B215" t="s">
        <v>7</v>
      </c>
      <c r="C215" t="s">
        <v>11</v>
      </c>
      <c r="H215">
        <f>IF(B215="female", 0, 1)</f>
        <v>0</v>
      </c>
      <c r="I215">
        <f>IF(C215= "yes", 1, 0)</f>
        <v>0</v>
      </c>
      <c r="J215">
        <v>34</v>
      </c>
      <c r="K215">
        <v>26.73</v>
      </c>
      <c r="L215">
        <v>1</v>
      </c>
      <c r="M215">
        <v>5002.7826999999997</v>
      </c>
    </row>
    <row r="216" spans="1:13" x14ac:dyDescent="0.35">
      <c r="A216" t="s">
        <v>9</v>
      </c>
      <c r="B216" t="s">
        <v>7</v>
      </c>
      <c r="C216" t="s">
        <v>11</v>
      </c>
      <c r="H216">
        <f>IF(B216="female", 0, 1)</f>
        <v>0</v>
      </c>
      <c r="I216">
        <f>IF(C216= "yes", 1, 0)</f>
        <v>0</v>
      </c>
      <c r="J216">
        <v>45</v>
      </c>
      <c r="K216">
        <v>30.9</v>
      </c>
      <c r="L216">
        <v>2</v>
      </c>
      <c r="M216">
        <v>8520.0259999999998</v>
      </c>
    </row>
    <row r="217" spans="1:13" x14ac:dyDescent="0.35">
      <c r="A217" t="s">
        <v>9</v>
      </c>
      <c r="B217" t="s">
        <v>7</v>
      </c>
      <c r="C217" t="s">
        <v>11</v>
      </c>
      <c r="H217">
        <f>IF(B217="female", 0, 1)</f>
        <v>0</v>
      </c>
      <c r="I217">
        <f>IF(C217= "yes", 1, 0)</f>
        <v>0</v>
      </c>
      <c r="J217">
        <v>41</v>
      </c>
      <c r="K217">
        <v>37.1</v>
      </c>
      <c r="L217">
        <v>2</v>
      </c>
      <c r="M217">
        <v>7371.7719999999999</v>
      </c>
    </row>
    <row r="218" spans="1:13" x14ac:dyDescent="0.35">
      <c r="A218" t="s">
        <v>13</v>
      </c>
      <c r="B218" t="s">
        <v>7</v>
      </c>
      <c r="C218" t="s">
        <v>11</v>
      </c>
      <c r="H218">
        <f>IF(B218="female", 0, 1)</f>
        <v>0</v>
      </c>
      <c r="I218">
        <f>IF(C218= "yes", 1, 0)</f>
        <v>0</v>
      </c>
      <c r="J218">
        <v>53</v>
      </c>
      <c r="K218">
        <v>26.6</v>
      </c>
      <c r="L218">
        <v>0</v>
      </c>
      <c r="M218">
        <v>10355.641</v>
      </c>
    </row>
    <row r="219" spans="1:13" x14ac:dyDescent="0.35">
      <c r="A219" t="s">
        <v>12</v>
      </c>
      <c r="B219" t="s">
        <v>10</v>
      </c>
      <c r="C219" t="s">
        <v>11</v>
      </c>
      <c r="H219">
        <f>IF(B219="female", 0, 1)</f>
        <v>1</v>
      </c>
      <c r="I219">
        <f>IF(C219= "yes", 1, 0)</f>
        <v>0</v>
      </c>
      <c r="J219">
        <v>27</v>
      </c>
      <c r="K219">
        <v>23.1</v>
      </c>
      <c r="L219">
        <v>0</v>
      </c>
      <c r="M219">
        <v>2483.7359999999999</v>
      </c>
    </row>
    <row r="220" spans="1:13" x14ac:dyDescent="0.35">
      <c r="A220" t="s">
        <v>12</v>
      </c>
      <c r="B220" t="s">
        <v>7</v>
      </c>
      <c r="C220" t="s">
        <v>11</v>
      </c>
      <c r="H220">
        <f>IF(B220="female", 0, 1)</f>
        <v>0</v>
      </c>
      <c r="I220">
        <f>IF(C220= "yes", 1, 0)</f>
        <v>0</v>
      </c>
      <c r="J220">
        <v>26</v>
      </c>
      <c r="K220">
        <v>29.92</v>
      </c>
      <c r="L220">
        <v>1</v>
      </c>
      <c r="M220">
        <v>3392.9767999999999</v>
      </c>
    </row>
    <row r="221" spans="1:13" x14ac:dyDescent="0.35">
      <c r="A221" t="s">
        <v>12</v>
      </c>
      <c r="B221" t="s">
        <v>7</v>
      </c>
      <c r="C221" t="s">
        <v>11</v>
      </c>
      <c r="H221">
        <f>IF(B221="female", 0, 1)</f>
        <v>0</v>
      </c>
      <c r="I221">
        <f>IF(C221= "yes", 1, 0)</f>
        <v>0</v>
      </c>
      <c r="J221">
        <v>24</v>
      </c>
      <c r="K221">
        <v>23.21</v>
      </c>
      <c r="L221">
        <v>0</v>
      </c>
      <c r="M221">
        <v>25081.76784</v>
      </c>
    </row>
    <row r="222" spans="1:13" x14ac:dyDescent="0.35">
      <c r="A222" t="s">
        <v>9</v>
      </c>
      <c r="B222" t="s">
        <v>7</v>
      </c>
      <c r="C222" t="s">
        <v>11</v>
      </c>
      <c r="H222">
        <f>IF(B222="female", 0, 1)</f>
        <v>0</v>
      </c>
      <c r="I222">
        <f>IF(C222= "yes", 1, 0)</f>
        <v>0</v>
      </c>
      <c r="J222">
        <v>34</v>
      </c>
      <c r="K222">
        <v>33.700000000000003</v>
      </c>
      <c r="L222">
        <v>1</v>
      </c>
      <c r="M222">
        <v>5012.4709999999995</v>
      </c>
    </row>
    <row r="223" spans="1:13" x14ac:dyDescent="0.35">
      <c r="A223" t="s">
        <v>14</v>
      </c>
      <c r="B223" t="s">
        <v>7</v>
      </c>
      <c r="C223" t="s">
        <v>11</v>
      </c>
      <c r="H223">
        <f>IF(B223="female", 0, 1)</f>
        <v>0</v>
      </c>
      <c r="I223">
        <f>IF(C223= "yes", 1, 0)</f>
        <v>0</v>
      </c>
      <c r="J223">
        <v>53</v>
      </c>
      <c r="K223">
        <v>33.25</v>
      </c>
      <c r="L223">
        <v>0</v>
      </c>
      <c r="M223">
        <v>10564.8845</v>
      </c>
    </row>
    <row r="224" spans="1:13" x14ac:dyDescent="0.35">
      <c r="A224" t="s">
        <v>9</v>
      </c>
      <c r="B224" t="s">
        <v>10</v>
      </c>
      <c r="C224" t="s">
        <v>11</v>
      </c>
      <c r="H224">
        <f>IF(B224="female", 0, 1)</f>
        <v>1</v>
      </c>
      <c r="I224">
        <f>IF(C224= "yes", 1, 0)</f>
        <v>0</v>
      </c>
      <c r="J224">
        <v>32</v>
      </c>
      <c r="K224">
        <v>30.8</v>
      </c>
      <c r="L224">
        <v>3</v>
      </c>
      <c r="M224">
        <v>5253.5240000000003</v>
      </c>
    </row>
    <row r="225" spans="1:13" x14ac:dyDescent="0.35">
      <c r="A225" t="s">
        <v>9</v>
      </c>
      <c r="B225" t="s">
        <v>10</v>
      </c>
      <c r="C225" t="s">
        <v>8</v>
      </c>
      <c r="H225">
        <f>IF(B225="female", 0, 1)</f>
        <v>1</v>
      </c>
      <c r="I225">
        <f>IF(C225= "yes", 1, 0)</f>
        <v>1</v>
      </c>
      <c r="J225">
        <v>19</v>
      </c>
      <c r="K225">
        <v>34.799999999999997</v>
      </c>
      <c r="L225">
        <v>0</v>
      </c>
      <c r="M225">
        <v>34779.614999999998</v>
      </c>
    </row>
    <row r="226" spans="1:13" x14ac:dyDescent="0.35">
      <c r="A226" t="s">
        <v>12</v>
      </c>
      <c r="B226" t="s">
        <v>10</v>
      </c>
      <c r="C226" t="s">
        <v>8</v>
      </c>
      <c r="H226">
        <f>IF(B226="female", 0, 1)</f>
        <v>1</v>
      </c>
      <c r="I226">
        <f>IF(C226= "yes", 1, 0)</f>
        <v>1</v>
      </c>
      <c r="J226">
        <v>42</v>
      </c>
      <c r="K226">
        <v>24.64</v>
      </c>
      <c r="L226">
        <v>0</v>
      </c>
      <c r="M226">
        <v>19515.5416</v>
      </c>
    </row>
    <row r="227" spans="1:13" x14ac:dyDescent="0.35">
      <c r="A227" t="s">
        <v>12</v>
      </c>
      <c r="B227" t="s">
        <v>10</v>
      </c>
      <c r="C227" t="s">
        <v>11</v>
      </c>
      <c r="H227">
        <f>IF(B227="female", 0, 1)</f>
        <v>1</v>
      </c>
      <c r="I227">
        <f>IF(C227= "yes", 1, 0)</f>
        <v>0</v>
      </c>
      <c r="J227">
        <v>55</v>
      </c>
      <c r="K227">
        <v>33.880000000000003</v>
      </c>
      <c r="L227">
        <v>3</v>
      </c>
      <c r="M227">
        <v>11987.1682</v>
      </c>
    </row>
    <row r="228" spans="1:13" x14ac:dyDescent="0.35">
      <c r="A228" t="s">
        <v>12</v>
      </c>
      <c r="B228" t="s">
        <v>10</v>
      </c>
      <c r="C228" t="s">
        <v>11</v>
      </c>
      <c r="H228">
        <f>IF(B228="female", 0, 1)</f>
        <v>1</v>
      </c>
      <c r="I228">
        <f>IF(C228= "yes", 1, 0)</f>
        <v>0</v>
      </c>
      <c r="J228">
        <v>28</v>
      </c>
      <c r="K228">
        <v>38.06</v>
      </c>
      <c r="L228">
        <v>0</v>
      </c>
      <c r="M228">
        <v>2689.4953999999998</v>
      </c>
    </row>
    <row r="229" spans="1:13" x14ac:dyDescent="0.35">
      <c r="A229" t="s">
        <v>12</v>
      </c>
      <c r="B229" t="s">
        <v>7</v>
      </c>
      <c r="C229" t="s">
        <v>11</v>
      </c>
      <c r="H229">
        <f>IF(B229="female", 0, 1)</f>
        <v>0</v>
      </c>
      <c r="I229">
        <f>IF(C229= "yes", 1, 0)</f>
        <v>0</v>
      </c>
      <c r="J229">
        <v>58</v>
      </c>
      <c r="K229">
        <v>41.91</v>
      </c>
      <c r="L229">
        <v>0</v>
      </c>
      <c r="M229">
        <v>24227.337240000001</v>
      </c>
    </row>
    <row r="230" spans="1:13" x14ac:dyDescent="0.35">
      <c r="A230" t="s">
        <v>14</v>
      </c>
      <c r="B230" t="s">
        <v>7</v>
      </c>
      <c r="C230" t="s">
        <v>11</v>
      </c>
      <c r="H230">
        <f>IF(B230="female", 0, 1)</f>
        <v>0</v>
      </c>
      <c r="I230">
        <f>IF(C230= "yes", 1, 0)</f>
        <v>0</v>
      </c>
      <c r="J230">
        <v>41</v>
      </c>
      <c r="K230">
        <v>31.635000000000002</v>
      </c>
      <c r="L230">
        <v>1</v>
      </c>
      <c r="M230">
        <v>7358.1756500000001</v>
      </c>
    </row>
    <row r="231" spans="1:13" x14ac:dyDescent="0.35">
      <c r="A231" t="s">
        <v>14</v>
      </c>
      <c r="B231" t="s">
        <v>10</v>
      </c>
      <c r="C231" t="s">
        <v>11</v>
      </c>
      <c r="H231">
        <f>IF(B231="female", 0, 1)</f>
        <v>1</v>
      </c>
      <c r="I231">
        <f>IF(C231= "yes", 1, 0)</f>
        <v>0</v>
      </c>
      <c r="J231">
        <v>47</v>
      </c>
      <c r="K231">
        <v>25.46</v>
      </c>
      <c r="L231">
        <v>2</v>
      </c>
      <c r="M231">
        <v>9225.2564000000002</v>
      </c>
    </row>
    <row r="232" spans="1:13" x14ac:dyDescent="0.35">
      <c r="A232" t="s">
        <v>13</v>
      </c>
      <c r="B232" t="s">
        <v>7</v>
      </c>
      <c r="C232" t="s">
        <v>11</v>
      </c>
      <c r="H232">
        <f>IF(B232="female", 0, 1)</f>
        <v>0</v>
      </c>
      <c r="I232">
        <f>IF(C232= "yes", 1, 0)</f>
        <v>0</v>
      </c>
      <c r="J232">
        <v>42</v>
      </c>
      <c r="K232">
        <v>36.195</v>
      </c>
      <c r="L232">
        <v>1</v>
      </c>
      <c r="M232">
        <v>7443.6430499999997</v>
      </c>
    </row>
    <row r="233" spans="1:13" x14ac:dyDescent="0.35">
      <c r="A233" t="s">
        <v>12</v>
      </c>
      <c r="B233" t="s">
        <v>7</v>
      </c>
      <c r="C233" t="s">
        <v>11</v>
      </c>
      <c r="H233">
        <f>IF(B233="female", 0, 1)</f>
        <v>0</v>
      </c>
      <c r="I233">
        <f>IF(C233= "yes", 1, 0)</f>
        <v>0</v>
      </c>
      <c r="J233">
        <v>59</v>
      </c>
      <c r="K233">
        <v>27.83</v>
      </c>
      <c r="L233">
        <v>3</v>
      </c>
      <c r="M233">
        <v>14001.286700000001</v>
      </c>
    </row>
    <row r="234" spans="1:13" x14ac:dyDescent="0.35">
      <c r="A234" t="s">
        <v>9</v>
      </c>
      <c r="B234" t="s">
        <v>7</v>
      </c>
      <c r="C234" t="s">
        <v>11</v>
      </c>
      <c r="H234">
        <f>IF(B234="female", 0, 1)</f>
        <v>0</v>
      </c>
      <c r="I234">
        <f>IF(C234= "yes", 1, 0)</f>
        <v>0</v>
      </c>
      <c r="J234">
        <v>19</v>
      </c>
      <c r="K234">
        <v>17.8</v>
      </c>
      <c r="L234">
        <v>0</v>
      </c>
      <c r="M234">
        <v>1727.7850000000001</v>
      </c>
    </row>
    <row r="235" spans="1:13" x14ac:dyDescent="0.35">
      <c r="A235" t="s">
        <v>9</v>
      </c>
      <c r="B235" t="s">
        <v>10</v>
      </c>
      <c r="C235" t="s">
        <v>11</v>
      </c>
      <c r="H235">
        <f>IF(B235="female", 0, 1)</f>
        <v>1</v>
      </c>
      <c r="I235">
        <f>IF(C235= "yes", 1, 0)</f>
        <v>0</v>
      </c>
      <c r="J235">
        <v>59</v>
      </c>
      <c r="K235">
        <v>27.5</v>
      </c>
      <c r="L235">
        <v>1</v>
      </c>
      <c r="M235">
        <v>12333.828</v>
      </c>
    </row>
    <row r="236" spans="1:13" x14ac:dyDescent="0.35">
      <c r="A236" t="s">
        <v>13</v>
      </c>
      <c r="B236" t="s">
        <v>10</v>
      </c>
      <c r="C236" t="s">
        <v>11</v>
      </c>
      <c r="H236">
        <f>IF(B236="female", 0, 1)</f>
        <v>1</v>
      </c>
      <c r="I236">
        <f>IF(C236= "yes", 1, 0)</f>
        <v>0</v>
      </c>
      <c r="J236">
        <v>39</v>
      </c>
      <c r="K236">
        <v>24.51</v>
      </c>
      <c r="L236">
        <v>2</v>
      </c>
      <c r="M236">
        <v>6710.1918999999998</v>
      </c>
    </row>
    <row r="237" spans="1:13" x14ac:dyDescent="0.35">
      <c r="A237" t="s">
        <v>12</v>
      </c>
      <c r="B237" t="s">
        <v>7</v>
      </c>
      <c r="C237" t="s">
        <v>8</v>
      </c>
      <c r="H237">
        <f>IF(B237="female", 0, 1)</f>
        <v>0</v>
      </c>
      <c r="I237">
        <f>IF(C237= "yes", 1, 0)</f>
        <v>1</v>
      </c>
      <c r="J237">
        <v>40</v>
      </c>
      <c r="K237">
        <v>22.22</v>
      </c>
      <c r="L237">
        <v>2</v>
      </c>
      <c r="M237">
        <v>19444.265800000001</v>
      </c>
    </row>
    <row r="238" spans="1:13" x14ac:dyDescent="0.35">
      <c r="A238" t="s">
        <v>12</v>
      </c>
      <c r="B238" t="s">
        <v>7</v>
      </c>
      <c r="C238" t="s">
        <v>11</v>
      </c>
      <c r="H238">
        <f>IF(B238="female", 0, 1)</f>
        <v>0</v>
      </c>
      <c r="I238">
        <f>IF(C238= "yes", 1, 0)</f>
        <v>0</v>
      </c>
      <c r="J238">
        <v>18</v>
      </c>
      <c r="K238">
        <v>26.73</v>
      </c>
      <c r="L238">
        <v>0</v>
      </c>
      <c r="M238">
        <v>1615.7666999999999</v>
      </c>
    </row>
    <row r="239" spans="1:13" x14ac:dyDescent="0.35">
      <c r="A239" t="s">
        <v>12</v>
      </c>
      <c r="B239" t="s">
        <v>10</v>
      </c>
      <c r="C239" t="s">
        <v>11</v>
      </c>
      <c r="H239">
        <f>IF(B239="female", 0, 1)</f>
        <v>1</v>
      </c>
      <c r="I239">
        <f>IF(C239= "yes", 1, 0)</f>
        <v>0</v>
      </c>
      <c r="J239">
        <v>31</v>
      </c>
      <c r="K239">
        <v>38.39</v>
      </c>
      <c r="L239">
        <v>2</v>
      </c>
      <c r="M239">
        <v>4463.2051000000001</v>
      </c>
    </row>
    <row r="240" spans="1:13" x14ac:dyDescent="0.35">
      <c r="A240" t="s">
        <v>13</v>
      </c>
      <c r="B240" t="s">
        <v>10</v>
      </c>
      <c r="C240" t="s">
        <v>8</v>
      </c>
      <c r="H240">
        <f>IF(B240="female", 0, 1)</f>
        <v>1</v>
      </c>
      <c r="I240">
        <f>IF(C240= "yes", 1, 0)</f>
        <v>1</v>
      </c>
      <c r="J240">
        <v>19</v>
      </c>
      <c r="K240">
        <v>29.07</v>
      </c>
      <c r="L240">
        <v>0</v>
      </c>
      <c r="M240">
        <v>17352.6803</v>
      </c>
    </row>
    <row r="241" spans="1:13" x14ac:dyDescent="0.35">
      <c r="A241" t="s">
        <v>12</v>
      </c>
      <c r="B241" t="s">
        <v>10</v>
      </c>
      <c r="C241" t="s">
        <v>11</v>
      </c>
      <c r="H241">
        <f>IF(B241="female", 0, 1)</f>
        <v>1</v>
      </c>
      <c r="I241">
        <f>IF(C241= "yes", 1, 0)</f>
        <v>0</v>
      </c>
      <c r="J241">
        <v>44</v>
      </c>
      <c r="K241">
        <v>38.06</v>
      </c>
      <c r="L241">
        <v>1</v>
      </c>
      <c r="M241">
        <v>7152.6714000000002</v>
      </c>
    </row>
    <row r="242" spans="1:13" x14ac:dyDescent="0.35">
      <c r="A242" t="s">
        <v>14</v>
      </c>
      <c r="B242" t="s">
        <v>7</v>
      </c>
      <c r="C242" t="s">
        <v>8</v>
      </c>
      <c r="H242">
        <f>IF(B242="female", 0, 1)</f>
        <v>0</v>
      </c>
      <c r="I242">
        <f>IF(C242= "yes", 1, 0)</f>
        <v>1</v>
      </c>
      <c r="J242">
        <v>23</v>
      </c>
      <c r="K242">
        <v>36.67</v>
      </c>
      <c r="L242">
        <v>2</v>
      </c>
      <c r="M242">
        <v>38511.628299999997</v>
      </c>
    </row>
    <row r="243" spans="1:13" x14ac:dyDescent="0.35">
      <c r="A243" t="s">
        <v>14</v>
      </c>
      <c r="B243" t="s">
        <v>7</v>
      </c>
      <c r="C243" t="s">
        <v>11</v>
      </c>
      <c r="H243">
        <f>IF(B243="female", 0, 1)</f>
        <v>0</v>
      </c>
      <c r="I243">
        <f>IF(C243= "yes", 1, 0)</f>
        <v>0</v>
      </c>
      <c r="J243">
        <v>33</v>
      </c>
      <c r="K243">
        <v>22.135000000000002</v>
      </c>
      <c r="L243">
        <v>1</v>
      </c>
      <c r="M243">
        <v>5354.0746499999996</v>
      </c>
    </row>
    <row r="244" spans="1:13" x14ac:dyDescent="0.35">
      <c r="A244" t="s">
        <v>9</v>
      </c>
      <c r="B244" t="s">
        <v>7</v>
      </c>
      <c r="C244" t="s">
        <v>11</v>
      </c>
      <c r="H244">
        <f>IF(B244="female", 0, 1)</f>
        <v>0</v>
      </c>
      <c r="I244">
        <f>IF(C244= "yes", 1, 0)</f>
        <v>0</v>
      </c>
      <c r="J244">
        <v>55</v>
      </c>
      <c r="K244">
        <v>26.8</v>
      </c>
      <c r="L244">
        <v>1</v>
      </c>
      <c r="M244">
        <v>35160.134570000002</v>
      </c>
    </row>
    <row r="245" spans="1:13" x14ac:dyDescent="0.35">
      <c r="A245" t="s">
        <v>9</v>
      </c>
      <c r="B245" t="s">
        <v>10</v>
      </c>
      <c r="C245" t="s">
        <v>11</v>
      </c>
      <c r="H245">
        <f>IF(B245="female", 0, 1)</f>
        <v>1</v>
      </c>
      <c r="I245">
        <f>IF(C245= "yes", 1, 0)</f>
        <v>0</v>
      </c>
      <c r="J245">
        <v>40</v>
      </c>
      <c r="K245">
        <v>35.299999999999997</v>
      </c>
      <c r="L245">
        <v>3</v>
      </c>
      <c r="M245">
        <v>7196.8670000000002</v>
      </c>
    </row>
    <row r="246" spans="1:13" x14ac:dyDescent="0.35">
      <c r="A246" t="s">
        <v>14</v>
      </c>
      <c r="B246" t="s">
        <v>7</v>
      </c>
      <c r="C246" t="s">
        <v>8</v>
      </c>
      <c r="H246">
        <f>IF(B246="female", 0, 1)</f>
        <v>0</v>
      </c>
      <c r="I246">
        <f>IF(C246= "yes", 1, 0)</f>
        <v>1</v>
      </c>
      <c r="J246">
        <v>63</v>
      </c>
      <c r="K246">
        <v>27.74</v>
      </c>
      <c r="L246">
        <v>0</v>
      </c>
      <c r="M246">
        <v>29523.1656</v>
      </c>
    </row>
    <row r="247" spans="1:13" x14ac:dyDescent="0.35">
      <c r="A247" t="s">
        <v>13</v>
      </c>
      <c r="B247" t="s">
        <v>10</v>
      </c>
      <c r="C247" t="s">
        <v>11</v>
      </c>
      <c r="H247">
        <f>IF(B247="female", 0, 1)</f>
        <v>1</v>
      </c>
      <c r="I247">
        <f>IF(C247= "yes", 1, 0)</f>
        <v>0</v>
      </c>
      <c r="J247">
        <v>54</v>
      </c>
      <c r="K247">
        <v>30.02</v>
      </c>
      <c r="L247">
        <v>0</v>
      </c>
      <c r="M247">
        <v>24476.478510000001</v>
      </c>
    </row>
    <row r="248" spans="1:13" x14ac:dyDescent="0.35">
      <c r="A248" t="s">
        <v>12</v>
      </c>
      <c r="B248" t="s">
        <v>7</v>
      </c>
      <c r="C248" t="s">
        <v>11</v>
      </c>
      <c r="H248">
        <f>IF(B248="female", 0, 1)</f>
        <v>0</v>
      </c>
      <c r="I248">
        <f>IF(C248= "yes", 1, 0)</f>
        <v>0</v>
      </c>
      <c r="J248">
        <v>60</v>
      </c>
      <c r="K248">
        <v>38.06</v>
      </c>
      <c r="L248">
        <v>0</v>
      </c>
      <c r="M248">
        <v>12648.7034</v>
      </c>
    </row>
    <row r="249" spans="1:13" x14ac:dyDescent="0.35">
      <c r="A249" t="s">
        <v>12</v>
      </c>
      <c r="B249" t="s">
        <v>10</v>
      </c>
      <c r="C249" t="s">
        <v>11</v>
      </c>
      <c r="H249">
        <f>IF(B249="female", 0, 1)</f>
        <v>1</v>
      </c>
      <c r="I249">
        <f>IF(C249= "yes", 1, 0)</f>
        <v>0</v>
      </c>
      <c r="J249">
        <v>24</v>
      </c>
      <c r="K249">
        <v>35.86</v>
      </c>
      <c r="L249">
        <v>0</v>
      </c>
      <c r="M249">
        <v>1986.9333999999999</v>
      </c>
    </row>
    <row r="250" spans="1:13" x14ac:dyDescent="0.35">
      <c r="A250" t="s">
        <v>9</v>
      </c>
      <c r="B250" t="s">
        <v>10</v>
      </c>
      <c r="C250" t="s">
        <v>11</v>
      </c>
      <c r="H250">
        <f>IF(B250="female", 0, 1)</f>
        <v>1</v>
      </c>
      <c r="I250">
        <f>IF(C250= "yes", 1, 0)</f>
        <v>0</v>
      </c>
      <c r="J250">
        <v>19</v>
      </c>
      <c r="K250">
        <v>20.9</v>
      </c>
      <c r="L250">
        <v>1</v>
      </c>
      <c r="M250">
        <v>1832.0940000000001</v>
      </c>
    </row>
    <row r="251" spans="1:13" x14ac:dyDescent="0.35">
      <c r="A251" t="s">
        <v>14</v>
      </c>
      <c r="B251" t="s">
        <v>10</v>
      </c>
      <c r="C251" t="s">
        <v>11</v>
      </c>
      <c r="H251">
        <f>IF(B251="female", 0, 1)</f>
        <v>1</v>
      </c>
      <c r="I251">
        <f>IF(C251= "yes", 1, 0)</f>
        <v>0</v>
      </c>
      <c r="J251">
        <v>29</v>
      </c>
      <c r="K251">
        <v>28.975000000000001</v>
      </c>
      <c r="L251">
        <v>1</v>
      </c>
      <c r="M251">
        <v>4040.55825</v>
      </c>
    </row>
    <row r="252" spans="1:13" x14ac:dyDescent="0.35">
      <c r="A252" t="s">
        <v>14</v>
      </c>
      <c r="B252" t="s">
        <v>10</v>
      </c>
      <c r="C252" t="s">
        <v>8</v>
      </c>
      <c r="H252">
        <f>IF(B252="female", 0, 1)</f>
        <v>1</v>
      </c>
      <c r="I252">
        <f>IF(C252= "yes", 1, 0)</f>
        <v>1</v>
      </c>
      <c r="J252">
        <v>18</v>
      </c>
      <c r="K252">
        <v>17.29</v>
      </c>
      <c r="L252">
        <v>2</v>
      </c>
      <c r="M252">
        <v>12829.455099999999</v>
      </c>
    </row>
    <row r="253" spans="1:13" x14ac:dyDescent="0.35">
      <c r="A253" t="s">
        <v>9</v>
      </c>
      <c r="B253" t="s">
        <v>7</v>
      </c>
      <c r="C253" t="s">
        <v>8</v>
      </c>
      <c r="H253">
        <f>IF(B253="female", 0, 1)</f>
        <v>0</v>
      </c>
      <c r="I253">
        <f>IF(C253= "yes", 1, 0)</f>
        <v>1</v>
      </c>
      <c r="J253">
        <v>63</v>
      </c>
      <c r="K253">
        <v>32.200000000000003</v>
      </c>
      <c r="L253">
        <v>2</v>
      </c>
      <c r="M253">
        <v>47305.305</v>
      </c>
    </row>
    <row r="254" spans="1:13" x14ac:dyDescent="0.35">
      <c r="A254" t="s">
        <v>12</v>
      </c>
      <c r="B254" t="s">
        <v>10</v>
      </c>
      <c r="C254" t="s">
        <v>8</v>
      </c>
      <c r="H254">
        <f>IF(B254="female", 0, 1)</f>
        <v>1</v>
      </c>
      <c r="I254">
        <f>IF(C254= "yes", 1, 0)</f>
        <v>1</v>
      </c>
      <c r="J254">
        <v>54</v>
      </c>
      <c r="K254">
        <v>34.21</v>
      </c>
      <c r="L254">
        <v>2</v>
      </c>
      <c r="M254">
        <v>44260.749900000003</v>
      </c>
    </row>
    <row r="255" spans="1:13" x14ac:dyDescent="0.35">
      <c r="A255" t="s">
        <v>9</v>
      </c>
      <c r="B255" t="s">
        <v>10</v>
      </c>
      <c r="C255" t="s">
        <v>11</v>
      </c>
      <c r="H255">
        <f>IF(B255="female", 0, 1)</f>
        <v>1</v>
      </c>
      <c r="I255">
        <f>IF(C255= "yes", 1, 0)</f>
        <v>0</v>
      </c>
      <c r="J255">
        <v>27</v>
      </c>
      <c r="K255">
        <v>30.3</v>
      </c>
      <c r="L255">
        <v>3</v>
      </c>
      <c r="M255">
        <v>4260.7439999999997</v>
      </c>
    </row>
    <row r="256" spans="1:13" x14ac:dyDescent="0.35">
      <c r="A256" t="s">
        <v>14</v>
      </c>
      <c r="B256" t="s">
        <v>10</v>
      </c>
      <c r="C256" t="s">
        <v>8</v>
      </c>
      <c r="H256">
        <f>IF(B256="female", 0, 1)</f>
        <v>1</v>
      </c>
      <c r="I256">
        <f>IF(C256= "yes", 1, 0)</f>
        <v>1</v>
      </c>
      <c r="J256">
        <v>50</v>
      </c>
      <c r="K256">
        <v>31.824999999999999</v>
      </c>
      <c r="L256">
        <v>0</v>
      </c>
      <c r="M256">
        <v>41097.161749999999</v>
      </c>
    </row>
    <row r="257" spans="1:13" x14ac:dyDescent="0.35">
      <c r="A257" t="s">
        <v>14</v>
      </c>
      <c r="B257" t="s">
        <v>7</v>
      </c>
      <c r="C257" t="s">
        <v>11</v>
      </c>
      <c r="H257">
        <f>IF(B257="female", 0, 1)</f>
        <v>0</v>
      </c>
      <c r="I257">
        <f>IF(C257= "yes", 1, 0)</f>
        <v>0</v>
      </c>
      <c r="J257">
        <v>55</v>
      </c>
      <c r="K257">
        <v>25.364999999999998</v>
      </c>
      <c r="L257">
        <v>3</v>
      </c>
      <c r="M257">
        <v>13047.332350000001</v>
      </c>
    </row>
    <row r="258" spans="1:13" x14ac:dyDescent="0.35">
      <c r="A258" t="s">
        <v>13</v>
      </c>
      <c r="B258" t="s">
        <v>10</v>
      </c>
      <c r="C258" t="s">
        <v>8</v>
      </c>
      <c r="H258">
        <f>IF(B258="female", 0, 1)</f>
        <v>1</v>
      </c>
      <c r="I258">
        <f>IF(C258= "yes", 1, 0)</f>
        <v>1</v>
      </c>
      <c r="J258">
        <v>56</v>
      </c>
      <c r="K258">
        <v>33.630000000000003</v>
      </c>
      <c r="L258">
        <v>0</v>
      </c>
      <c r="M258">
        <v>43921.183700000001</v>
      </c>
    </row>
    <row r="259" spans="1:13" x14ac:dyDescent="0.35">
      <c r="A259" t="s">
        <v>12</v>
      </c>
      <c r="B259" t="s">
        <v>7</v>
      </c>
      <c r="C259" t="s">
        <v>11</v>
      </c>
      <c r="H259">
        <f>IF(B259="female", 0, 1)</f>
        <v>0</v>
      </c>
      <c r="I259">
        <f>IF(C259= "yes", 1, 0)</f>
        <v>0</v>
      </c>
      <c r="J259">
        <v>38</v>
      </c>
      <c r="K259">
        <v>40.15</v>
      </c>
      <c r="L259">
        <v>0</v>
      </c>
      <c r="M259">
        <v>5400.9804999999997</v>
      </c>
    </row>
    <row r="260" spans="1:13" x14ac:dyDescent="0.35">
      <c r="A260" t="s">
        <v>13</v>
      </c>
      <c r="B260" t="s">
        <v>10</v>
      </c>
      <c r="C260" t="s">
        <v>11</v>
      </c>
      <c r="H260">
        <f>IF(B260="female", 0, 1)</f>
        <v>1</v>
      </c>
      <c r="I260">
        <f>IF(C260= "yes", 1, 0)</f>
        <v>0</v>
      </c>
      <c r="J260">
        <v>51</v>
      </c>
      <c r="K260">
        <v>24.414999999999999</v>
      </c>
      <c r="L260">
        <v>4</v>
      </c>
      <c r="M260">
        <v>11520.099850000001</v>
      </c>
    </row>
    <row r="261" spans="1:13" x14ac:dyDescent="0.35">
      <c r="A261" t="s">
        <v>13</v>
      </c>
      <c r="B261" t="s">
        <v>10</v>
      </c>
      <c r="C261" t="s">
        <v>8</v>
      </c>
      <c r="H261">
        <f>IF(B261="female", 0, 1)</f>
        <v>1</v>
      </c>
      <c r="I261">
        <f>IF(C261= "yes", 1, 0)</f>
        <v>1</v>
      </c>
      <c r="J261">
        <v>19</v>
      </c>
      <c r="K261">
        <v>31.92</v>
      </c>
      <c r="L261">
        <v>0</v>
      </c>
      <c r="M261">
        <v>33750.291799999999</v>
      </c>
    </row>
    <row r="262" spans="1:13" x14ac:dyDescent="0.35">
      <c r="A262" t="s">
        <v>9</v>
      </c>
      <c r="B262" t="s">
        <v>7</v>
      </c>
      <c r="C262" t="s">
        <v>11</v>
      </c>
      <c r="H262">
        <f>IF(B262="female", 0, 1)</f>
        <v>0</v>
      </c>
      <c r="I262">
        <f>IF(C262= "yes", 1, 0)</f>
        <v>0</v>
      </c>
      <c r="J262">
        <v>58</v>
      </c>
      <c r="K262">
        <v>25.2</v>
      </c>
      <c r="L262">
        <v>0</v>
      </c>
      <c r="M262">
        <v>11837.16</v>
      </c>
    </row>
    <row r="263" spans="1:13" x14ac:dyDescent="0.35">
      <c r="A263" t="s">
        <v>12</v>
      </c>
      <c r="B263" t="s">
        <v>7</v>
      </c>
      <c r="C263" t="s">
        <v>8</v>
      </c>
      <c r="H263">
        <f>IF(B263="female", 0, 1)</f>
        <v>0</v>
      </c>
      <c r="I263">
        <f>IF(C263= "yes", 1, 0)</f>
        <v>1</v>
      </c>
      <c r="J263">
        <v>20</v>
      </c>
      <c r="K263">
        <v>26.84</v>
      </c>
      <c r="L263">
        <v>1</v>
      </c>
      <c r="M263">
        <v>17085.267599999999</v>
      </c>
    </row>
    <row r="264" spans="1:13" x14ac:dyDescent="0.35">
      <c r="A264" t="s">
        <v>14</v>
      </c>
      <c r="B264" t="s">
        <v>10</v>
      </c>
      <c r="C264" t="s">
        <v>8</v>
      </c>
      <c r="H264">
        <f>IF(B264="female", 0, 1)</f>
        <v>1</v>
      </c>
      <c r="I264">
        <f>IF(C264= "yes", 1, 0)</f>
        <v>1</v>
      </c>
      <c r="J264">
        <v>52</v>
      </c>
      <c r="K264">
        <v>24.32</v>
      </c>
      <c r="L264">
        <v>3</v>
      </c>
      <c r="M264">
        <v>24869.836800000001</v>
      </c>
    </row>
    <row r="265" spans="1:13" x14ac:dyDescent="0.35">
      <c r="A265" t="s">
        <v>13</v>
      </c>
      <c r="B265" t="s">
        <v>10</v>
      </c>
      <c r="C265" t="s">
        <v>8</v>
      </c>
      <c r="H265">
        <f>IF(B265="female", 0, 1)</f>
        <v>1</v>
      </c>
      <c r="I265">
        <f>IF(C265= "yes", 1, 0)</f>
        <v>1</v>
      </c>
      <c r="J265">
        <v>19</v>
      </c>
      <c r="K265">
        <v>36.954999999999998</v>
      </c>
      <c r="L265">
        <v>0</v>
      </c>
      <c r="M265">
        <v>36219.405449999998</v>
      </c>
    </row>
    <row r="266" spans="1:13" x14ac:dyDescent="0.35">
      <c r="A266" t="s">
        <v>12</v>
      </c>
      <c r="B266" t="s">
        <v>7</v>
      </c>
      <c r="C266" t="s">
        <v>11</v>
      </c>
      <c r="H266">
        <f>IF(B266="female", 0, 1)</f>
        <v>0</v>
      </c>
      <c r="I266">
        <f>IF(C266= "yes", 1, 0)</f>
        <v>0</v>
      </c>
      <c r="J266">
        <v>53</v>
      </c>
      <c r="K266">
        <v>38.06</v>
      </c>
      <c r="L266">
        <v>3</v>
      </c>
      <c r="M266">
        <v>20462.997660000001</v>
      </c>
    </row>
    <row r="267" spans="1:13" x14ac:dyDescent="0.35">
      <c r="A267" t="s">
        <v>12</v>
      </c>
      <c r="B267" t="s">
        <v>10</v>
      </c>
      <c r="C267" t="s">
        <v>8</v>
      </c>
      <c r="H267">
        <f>IF(B267="female", 0, 1)</f>
        <v>1</v>
      </c>
      <c r="I267">
        <f>IF(C267= "yes", 1, 0)</f>
        <v>1</v>
      </c>
      <c r="J267">
        <v>46</v>
      </c>
      <c r="K267">
        <v>42.35</v>
      </c>
      <c r="L267">
        <v>3</v>
      </c>
      <c r="M267">
        <v>46151.124499999998</v>
      </c>
    </row>
    <row r="268" spans="1:13" x14ac:dyDescent="0.35">
      <c r="A268" t="s">
        <v>12</v>
      </c>
      <c r="B268" t="s">
        <v>10</v>
      </c>
      <c r="C268" t="s">
        <v>8</v>
      </c>
      <c r="H268">
        <f>IF(B268="female", 0, 1)</f>
        <v>1</v>
      </c>
      <c r="I268">
        <f>IF(C268= "yes", 1, 0)</f>
        <v>1</v>
      </c>
      <c r="J268">
        <v>40</v>
      </c>
      <c r="K268">
        <v>19.8</v>
      </c>
      <c r="L268">
        <v>1</v>
      </c>
      <c r="M268">
        <v>17179.522000000001</v>
      </c>
    </row>
    <row r="269" spans="1:13" x14ac:dyDescent="0.35">
      <c r="A269" t="s">
        <v>14</v>
      </c>
      <c r="B269" t="s">
        <v>7</v>
      </c>
      <c r="C269" t="s">
        <v>11</v>
      </c>
      <c r="H269">
        <f>IF(B269="female", 0, 1)</f>
        <v>0</v>
      </c>
      <c r="I269">
        <f>IF(C269= "yes", 1, 0)</f>
        <v>0</v>
      </c>
      <c r="J269">
        <v>59</v>
      </c>
      <c r="K269">
        <v>32.395000000000003</v>
      </c>
      <c r="L269">
        <v>3</v>
      </c>
      <c r="M269">
        <v>14590.63205</v>
      </c>
    </row>
    <row r="270" spans="1:13" x14ac:dyDescent="0.35">
      <c r="A270" t="s">
        <v>9</v>
      </c>
      <c r="B270" t="s">
        <v>10</v>
      </c>
      <c r="C270" t="s">
        <v>11</v>
      </c>
      <c r="H270">
        <f>IF(B270="female", 0, 1)</f>
        <v>1</v>
      </c>
      <c r="I270">
        <f>IF(C270= "yes", 1, 0)</f>
        <v>0</v>
      </c>
      <c r="J270">
        <v>45</v>
      </c>
      <c r="K270">
        <v>30.2</v>
      </c>
      <c r="L270">
        <v>1</v>
      </c>
      <c r="M270">
        <v>7441.0529999999999</v>
      </c>
    </row>
    <row r="271" spans="1:13" x14ac:dyDescent="0.35">
      <c r="A271" t="s">
        <v>14</v>
      </c>
      <c r="B271" t="s">
        <v>10</v>
      </c>
      <c r="C271" t="s">
        <v>11</v>
      </c>
      <c r="H271">
        <f>IF(B271="female", 0, 1)</f>
        <v>1</v>
      </c>
      <c r="I271">
        <f>IF(C271= "yes", 1, 0)</f>
        <v>0</v>
      </c>
      <c r="J271">
        <v>49</v>
      </c>
      <c r="K271">
        <v>25.84</v>
      </c>
      <c r="L271">
        <v>1</v>
      </c>
      <c r="M271">
        <v>9282.4806000000008</v>
      </c>
    </row>
    <row r="272" spans="1:13" x14ac:dyDescent="0.35">
      <c r="A272" t="s">
        <v>12</v>
      </c>
      <c r="B272" t="s">
        <v>10</v>
      </c>
      <c r="C272" t="s">
        <v>11</v>
      </c>
      <c r="H272">
        <f>IF(B272="female", 0, 1)</f>
        <v>1</v>
      </c>
      <c r="I272">
        <f>IF(C272= "yes", 1, 0)</f>
        <v>0</v>
      </c>
      <c r="J272">
        <v>18</v>
      </c>
      <c r="K272">
        <v>29.37</v>
      </c>
      <c r="L272">
        <v>1</v>
      </c>
      <c r="M272">
        <v>1719.4363000000001</v>
      </c>
    </row>
    <row r="273" spans="1:13" x14ac:dyDescent="0.35">
      <c r="A273" t="s">
        <v>9</v>
      </c>
      <c r="B273" t="s">
        <v>10</v>
      </c>
      <c r="C273" t="s">
        <v>8</v>
      </c>
      <c r="H273">
        <f>IF(B273="female", 0, 1)</f>
        <v>1</v>
      </c>
      <c r="I273">
        <f>IF(C273= "yes", 1, 0)</f>
        <v>1</v>
      </c>
      <c r="J273">
        <v>50</v>
      </c>
      <c r="K273">
        <v>34.200000000000003</v>
      </c>
      <c r="L273">
        <v>2</v>
      </c>
      <c r="M273">
        <v>42856.838000000003</v>
      </c>
    </row>
    <row r="274" spans="1:13" x14ac:dyDescent="0.35">
      <c r="A274" t="s">
        <v>13</v>
      </c>
      <c r="B274" t="s">
        <v>10</v>
      </c>
      <c r="C274" t="s">
        <v>11</v>
      </c>
      <c r="H274">
        <f>IF(B274="female", 0, 1)</f>
        <v>1</v>
      </c>
      <c r="I274">
        <f>IF(C274= "yes", 1, 0)</f>
        <v>0</v>
      </c>
      <c r="J274">
        <v>41</v>
      </c>
      <c r="K274">
        <v>37.049999999999997</v>
      </c>
      <c r="L274">
        <v>2</v>
      </c>
      <c r="M274">
        <v>7265.7025000000003</v>
      </c>
    </row>
    <row r="275" spans="1:13" x14ac:dyDescent="0.35">
      <c r="A275" t="s">
        <v>14</v>
      </c>
      <c r="B275" t="s">
        <v>10</v>
      </c>
      <c r="C275" t="s">
        <v>11</v>
      </c>
      <c r="H275">
        <f>IF(B275="female", 0, 1)</f>
        <v>1</v>
      </c>
      <c r="I275">
        <f>IF(C275= "yes", 1, 0)</f>
        <v>0</v>
      </c>
      <c r="J275">
        <v>50</v>
      </c>
      <c r="K275">
        <v>27.454999999999998</v>
      </c>
      <c r="L275">
        <v>1</v>
      </c>
      <c r="M275">
        <v>9617.6624499999998</v>
      </c>
    </row>
    <row r="276" spans="1:13" x14ac:dyDescent="0.35">
      <c r="A276" t="s">
        <v>13</v>
      </c>
      <c r="B276" t="s">
        <v>10</v>
      </c>
      <c r="C276" t="s">
        <v>11</v>
      </c>
      <c r="H276">
        <f>IF(B276="female", 0, 1)</f>
        <v>1</v>
      </c>
      <c r="I276">
        <f>IF(C276= "yes", 1, 0)</f>
        <v>0</v>
      </c>
      <c r="J276">
        <v>25</v>
      </c>
      <c r="K276">
        <v>27.55</v>
      </c>
      <c r="L276">
        <v>0</v>
      </c>
      <c r="M276">
        <v>2523.1695</v>
      </c>
    </row>
    <row r="277" spans="1:13" x14ac:dyDescent="0.35">
      <c r="A277" t="s">
        <v>14</v>
      </c>
      <c r="B277" t="s">
        <v>7</v>
      </c>
      <c r="C277" t="s">
        <v>11</v>
      </c>
      <c r="H277">
        <f>IF(B277="female", 0, 1)</f>
        <v>0</v>
      </c>
      <c r="I277">
        <f>IF(C277= "yes", 1, 0)</f>
        <v>0</v>
      </c>
      <c r="J277">
        <v>47</v>
      </c>
      <c r="K277">
        <v>26.6</v>
      </c>
      <c r="L277">
        <v>2</v>
      </c>
      <c r="M277">
        <v>9715.8410000000003</v>
      </c>
    </row>
    <row r="278" spans="1:13" x14ac:dyDescent="0.35">
      <c r="A278" t="s">
        <v>13</v>
      </c>
      <c r="B278" t="s">
        <v>10</v>
      </c>
      <c r="C278" t="s">
        <v>11</v>
      </c>
      <c r="H278">
        <f>IF(B278="female", 0, 1)</f>
        <v>1</v>
      </c>
      <c r="I278">
        <f>IF(C278= "yes", 1, 0)</f>
        <v>0</v>
      </c>
      <c r="J278">
        <v>19</v>
      </c>
      <c r="K278">
        <v>20.614999999999998</v>
      </c>
      <c r="L278">
        <v>2</v>
      </c>
      <c r="M278">
        <v>2803.69785</v>
      </c>
    </row>
    <row r="279" spans="1:13" x14ac:dyDescent="0.35">
      <c r="A279" t="s">
        <v>9</v>
      </c>
      <c r="B279" t="s">
        <v>7</v>
      </c>
      <c r="C279" t="s">
        <v>11</v>
      </c>
      <c r="H279">
        <f>IF(B279="female", 0, 1)</f>
        <v>0</v>
      </c>
      <c r="I279">
        <f>IF(C279= "yes", 1, 0)</f>
        <v>0</v>
      </c>
      <c r="J279">
        <v>22</v>
      </c>
      <c r="K279">
        <v>24.3</v>
      </c>
      <c r="L279">
        <v>0</v>
      </c>
      <c r="M279">
        <v>2150.4690000000001</v>
      </c>
    </row>
    <row r="280" spans="1:13" x14ac:dyDescent="0.35">
      <c r="A280" t="s">
        <v>12</v>
      </c>
      <c r="B280" t="s">
        <v>10</v>
      </c>
      <c r="C280" t="s">
        <v>11</v>
      </c>
      <c r="H280">
        <f>IF(B280="female", 0, 1)</f>
        <v>1</v>
      </c>
      <c r="I280">
        <f>IF(C280= "yes", 1, 0)</f>
        <v>0</v>
      </c>
      <c r="J280">
        <v>59</v>
      </c>
      <c r="K280">
        <v>31.79</v>
      </c>
      <c r="L280">
        <v>2</v>
      </c>
      <c r="M280">
        <v>12928.7911</v>
      </c>
    </row>
    <row r="281" spans="1:13" x14ac:dyDescent="0.35">
      <c r="A281" t="s">
        <v>12</v>
      </c>
      <c r="B281" t="s">
        <v>7</v>
      </c>
      <c r="C281" t="s">
        <v>11</v>
      </c>
      <c r="H281">
        <f>IF(B281="female", 0, 1)</f>
        <v>0</v>
      </c>
      <c r="I281">
        <f>IF(C281= "yes", 1, 0)</f>
        <v>0</v>
      </c>
      <c r="J281">
        <v>51</v>
      </c>
      <c r="K281">
        <v>21.56</v>
      </c>
      <c r="L281">
        <v>1</v>
      </c>
      <c r="M281">
        <v>9855.1314000000002</v>
      </c>
    </row>
    <row r="282" spans="1:13" x14ac:dyDescent="0.35">
      <c r="A282" t="s">
        <v>14</v>
      </c>
      <c r="B282" t="s">
        <v>7</v>
      </c>
      <c r="C282" t="s">
        <v>8</v>
      </c>
      <c r="H282">
        <f>IF(B282="female", 0, 1)</f>
        <v>0</v>
      </c>
      <c r="I282">
        <f>IF(C282= "yes", 1, 0)</f>
        <v>1</v>
      </c>
      <c r="J282">
        <v>40</v>
      </c>
      <c r="K282">
        <v>28.12</v>
      </c>
      <c r="L282">
        <v>1</v>
      </c>
      <c r="M282">
        <v>22331.566800000001</v>
      </c>
    </row>
    <row r="283" spans="1:13" x14ac:dyDescent="0.35">
      <c r="A283" t="s">
        <v>14</v>
      </c>
      <c r="B283" t="s">
        <v>10</v>
      </c>
      <c r="C283" t="s">
        <v>8</v>
      </c>
      <c r="H283">
        <f>IF(B283="female", 0, 1)</f>
        <v>1</v>
      </c>
      <c r="I283">
        <f>IF(C283= "yes", 1, 0)</f>
        <v>1</v>
      </c>
      <c r="J283">
        <v>54</v>
      </c>
      <c r="K283">
        <v>40.564999999999998</v>
      </c>
      <c r="L283">
        <v>3</v>
      </c>
      <c r="M283">
        <v>48549.178350000002</v>
      </c>
    </row>
    <row r="284" spans="1:13" x14ac:dyDescent="0.35">
      <c r="A284" t="s">
        <v>14</v>
      </c>
      <c r="B284" t="s">
        <v>10</v>
      </c>
      <c r="C284" t="s">
        <v>11</v>
      </c>
      <c r="H284">
        <f>IF(B284="female", 0, 1)</f>
        <v>1</v>
      </c>
      <c r="I284">
        <f>IF(C284= "yes", 1, 0)</f>
        <v>0</v>
      </c>
      <c r="J284">
        <v>30</v>
      </c>
      <c r="K284">
        <v>27.645</v>
      </c>
      <c r="L284">
        <v>1</v>
      </c>
      <c r="M284">
        <v>4237.12655</v>
      </c>
    </row>
    <row r="285" spans="1:13" x14ac:dyDescent="0.35">
      <c r="A285" t="s">
        <v>14</v>
      </c>
      <c r="B285" t="s">
        <v>7</v>
      </c>
      <c r="C285" t="s">
        <v>11</v>
      </c>
      <c r="H285">
        <f>IF(B285="female", 0, 1)</f>
        <v>0</v>
      </c>
      <c r="I285">
        <f>IF(C285= "yes", 1, 0)</f>
        <v>0</v>
      </c>
      <c r="J285">
        <v>55</v>
      </c>
      <c r="K285">
        <v>32.395000000000003</v>
      </c>
      <c r="L285">
        <v>1</v>
      </c>
      <c r="M285">
        <v>11879.10405</v>
      </c>
    </row>
    <row r="286" spans="1:13" x14ac:dyDescent="0.35">
      <c r="A286" t="s">
        <v>9</v>
      </c>
      <c r="B286" t="s">
        <v>7</v>
      </c>
      <c r="C286" t="s">
        <v>11</v>
      </c>
      <c r="H286">
        <f>IF(B286="female", 0, 1)</f>
        <v>0</v>
      </c>
      <c r="I286">
        <f>IF(C286= "yes", 1, 0)</f>
        <v>0</v>
      </c>
      <c r="J286">
        <v>52</v>
      </c>
      <c r="K286">
        <v>31.2</v>
      </c>
      <c r="L286">
        <v>0</v>
      </c>
      <c r="M286">
        <v>9625.92</v>
      </c>
    </row>
    <row r="287" spans="1:13" x14ac:dyDescent="0.35">
      <c r="A287" t="s">
        <v>12</v>
      </c>
      <c r="B287" t="s">
        <v>10</v>
      </c>
      <c r="C287" t="s">
        <v>11</v>
      </c>
      <c r="H287">
        <f>IF(B287="female", 0, 1)</f>
        <v>1</v>
      </c>
      <c r="I287">
        <f>IF(C287= "yes", 1, 0)</f>
        <v>0</v>
      </c>
      <c r="J287">
        <v>46</v>
      </c>
      <c r="K287">
        <v>26.62</v>
      </c>
      <c r="L287">
        <v>1</v>
      </c>
      <c r="M287">
        <v>7742.1098000000002</v>
      </c>
    </row>
    <row r="288" spans="1:13" x14ac:dyDescent="0.35">
      <c r="A288" t="s">
        <v>14</v>
      </c>
      <c r="B288" t="s">
        <v>7</v>
      </c>
      <c r="C288" t="s">
        <v>11</v>
      </c>
      <c r="H288">
        <f>IF(B288="female", 0, 1)</f>
        <v>0</v>
      </c>
      <c r="I288">
        <f>IF(C288= "yes", 1, 0)</f>
        <v>0</v>
      </c>
      <c r="J288">
        <v>46</v>
      </c>
      <c r="K288">
        <v>48.07</v>
      </c>
      <c r="L288">
        <v>2</v>
      </c>
      <c r="M288">
        <v>9432.9253000000008</v>
      </c>
    </row>
    <row r="289" spans="1:13" x14ac:dyDescent="0.35">
      <c r="A289" t="s">
        <v>13</v>
      </c>
      <c r="B289" t="s">
        <v>7</v>
      </c>
      <c r="C289" t="s">
        <v>11</v>
      </c>
      <c r="H289">
        <f>IF(B289="female", 0, 1)</f>
        <v>0</v>
      </c>
      <c r="I289">
        <f>IF(C289= "yes", 1, 0)</f>
        <v>0</v>
      </c>
      <c r="J289">
        <v>63</v>
      </c>
      <c r="K289">
        <v>26.22</v>
      </c>
      <c r="L289">
        <v>0</v>
      </c>
      <c r="M289">
        <v>14256.192800000001</v>
      </c>
    </row>
    <row r="290" spans="1:13" x14ac:dyDescent="0.35">
      <c r="A290" t="s">
        <v>14</v>
      </c>
      <c r="B290" t="s">
        <v>7</v>
      </c>
      <c r="C290" t="s">
        <v>8</v>
      </c>
      <c r="H290">
        <f>IF(B290="female", 0, 1)</f>
        <v>0</v>
      </c>
      <c r="I290">
        <f>IF(C290= "yes", 1, 0)</f>
        <v>1</v>
      </c>
      <c r="J290">
        <v>59</v>
      </c>
      <c r="K290">
        <v>36.765000000000001</v>
      </c>
      <c r="L290">
        <v>1</v>
      </c>
      <c r="M290">
        <v>47896.79135</v>
      </c>
    </row>
    <row r="291" spans="1:13" x14ac:dyDescent="0.35">
      <c r="A291" t="s">
        <v>12</v>
      </c>
      <c r="B291" t="s">
        <v>10</v>
      </c>
      <c r="C291" t="s">
        <v>11</v>
      </c>
      <c r="H291">
        <f>IF(B291="female", 0, 1)</f>
        <v>1</v>
      </c>
      <c r="I291">
        <f>IF(C291= "yes", 1, 0)</f>
        <v>0</v>
      </c>
      <c r="J291">
        <v>52</v>
      </c>
      <c r="K291">
        <v>26.4</v>
      </c>
      <c r="L291">
        <v>3</v>
      </c>
      <c r="M291">
        <v>25992.821039999999</v>
      </c>
    </row>
    <row r="292" spans="1:13" x14ac:dyDescent="0.35">
      <c r="A292" t="s">
        <v>9</v>
      </c>
      <c r="B292" t="s">
        <v>7</v>
      </c>
      <c r="C292" t="s">
        <v>11</v>
      </c>
      <c r="H292">
        <f>IF(B292="female", 0, 1)</f>
        <v>0</v>
      </c>
      <c r="I292">
        <f>IF(C292= "yes", 1, 0)</f>
        <v>0</v>
      </c>
      <c r="J292">
        <v>28</v>
      </c>
      <c r="K292">
        <v>33.4</v>
      </c>
      <c r="L292">
        <v>0</v>
      </c>
      <c r="M292">
        <v>3172.018</v>
      </c>
    </row>
    <row r="293" spans="1:13" x14ac:dyDescent="0.35">
      <c r="A293" t="s">
        <v>14</v>
      </c>
      <c r="B293" t="s">
        <v>10</v>
      </c>
      <c r="C293" t="s">
        <v>11</v>
      </c>
      <c r="H293">
        <f>IF(B293="female", 0, 1)</f>
        <v>1</v>
      </c>
      <c r="I293">
        <f>IF(C293= "yes", 1, 0)</f>
        <v>0</v>
      </c>
      <c r="J293">
        <v>29</v>
      </c>
      <c r="K293">
        <v>29.64</v>
      </c>
      <c r="L293">
        <v>1</v>
      </c>
      <c r="M293">
        <v>20277.807509999999</v>
      </c>
    </row>
    <row r="294" spans="1:13" x14ac:dyDescent="0.35">
      <c r="A294" t="s">
        <v>12</v>
      </c>
      <c r="B294" t="s">
        <v>10</v>
      </c>
      <c r="C294" t="s">
        <v>8</v>
      </c>
      <c r="H294">
        <f>IF(B294="female", 0, 1)</f>
        <v>1</v>
      </c>
      <c r="I294">
        <f>IF(C294= "yes", 1, 0)</f>
        <v>1</v>
      </c>
      <c r="J294">
        <v>25</v>
      </c>
      <c r="K294">
        <v>45.54</v>
      </c>
      <c r="L294">
        <v>2</v>
      </c>
      <c r="M294">
        <v>42112.2356</v>
      </c>
    </row>
    <row r="295" spans="1:13" x14ac:dyDescent="0.35">
      <c r="A295" t="s">
        <v>12</v>
      </c>
      <c r="B295" t="s">
        <v>7</v>
      </c>
      <c r="C295" t="s">
        <v>11</v>
      </c>
      <c r="H295">
        <f>IF(B295="female", 0, 1)</f>
        <v>0</v>
      </c>
      <c r="I295">
        <f>IF(C295= "yes", 1, 0)</f>
        <v>0</v>
      </c>
      <c r="J295">
        <v>22</v>
      </c>
      <c r="K295">
        <v>28.82</v>
      </c>
      <c r="L295">
        <v>0</v>
      </c>
      <c r="M295">
        <v>2156.7518</v>
      </c>
    </row>
    <row r="296" spans="1:13" x14ac:dyDescent="0.35">
      <c r="A296" t="s">
        <v>9</v>
      </c>
      <c r="B296" t="s">
        <v>10</v>
      </c>
      <c r="C296" t="s">
        <v>11</v>
      </c>
      <c r="H296">
        <f>IF(B296="female", 0, 1)</f>
        <v>1</v>
      </c>
      <c r="I296">
        <f>IF(C296= "yes", 1, 0)</f>
        <v>0</v>
      </c>
      <c r="J296">
        <v>25</v>
      </c>
      <c r="K296">
        <v>26.8</v>
      </c>
      <c r="L296">
        <v>3</v>
      </c>
      <c r="M296">
        <v>3906.127</v>
      </c>
    </row>
    <row r="297" spans="1:13" x14ac:dyDescent="0.35">
      <c r="A297" t="s">
        <v>14</v>
      </c>
      <c r="B297" t="s">
        <v>10</v>
      </c>
      <c r="C297" t="s">
        <v>11</v>
      </c>
      <c r="H297">
        <f>IF(B297="female", 0, 1)</f>
        <v>1</v>
      </c>
      <c r="I297">
        <f>IF(C297= "yes", 1, 0)</f>
        <v>0</v>
      </c>
      <c r="J297">
        <v>18</v>
      </c>
      <c r="K297">
        <v>22.99</v>
      </c>
      <c r="L297">
        <v>0</v>
      </c>
      <c r="M297">
        <v>1704.5681</v>
      </c>
    </row>
    <row r="298" spans="1:13" x14ac:dyDescent="0.35">
      <c r="A298" t="s">
        <v>9</v>
      </c>
      <c r="B298" t="s">
        <v>10</v>
      </c>
      <c r="C298" t="s">
        <v>8</v>
      </c>
      <c r="H298">
        <f>IF(B298="female", 0, 1)</f>
        <v>1</v>
      </c>
      <c r="I298">
        <f>IF(C298= "yes", 1, 0)</f>
        <v>1</v>
      </c>
      <c r="J298">
        <v>19</v>
      </c>
      <c r="K298">
        <v>27.7</v>
      </c>
      <c r="L298">
        <v>0</v>
      </c>
      <c r="M298">
        <v>16297.846</v>
      </c>
    </row>
    <row r="299" spans="1:13" x14ac:dyDescent="0.35">
      <c r="A299" t="s">
        <v>12</v>
      </c>
      <c r="B299" t="s">
        <v>10</v>
      </c>
      <c r="C299" t="s">
        <v>8</v>
      </c>
      <c r="H299">
        <f>IF(B299="female", 0, 1)</f>
        <v>1</v>
      </c>
      <c r="I299">
        <f>IF(C299= "yes", 1, 0)</f>
        <v>1</v>
      </c>
      <c r="J299">
        <v>47</v>
      </c>
      <c r="K299">
        <v>25.41</v>
      </c>
      <c r="L299">
        <v>1</v>
      </c>
      <c r="M299">
        <v>21978.676899999999</v>
      </c>
    </row>
    <row r="300" spans="1:13" x14ac:dyDescent="0.35">
      <c r="A300" t="s">
        <v>13</v>
      </c>
      <c r="B300" t="s">
        <v>10</v>
      </c>
      <c r="C300" t="s">
        <v>8</v>
      </c>
      <c r="H300">
        <f>IF(B300="female", 0, 1)</f>
        <v>1</v>
      </c>
      <c r="I300">
        <f>IF(C300= "yes", 1, 0)</f>
        <v>1</v>
      </c>
      <c r="J300">
        <v>31</v>
      </c>
      <c r="K300">
        <v>34.39</v>
      </c>
      <c r="L300">
        <v>3</v>
      </c>
      <c r="M300">
        <v>38746.355100000001</v>
      </c>
    </row>
    <row r="301" spans="1:13" x14ac:dyDescent="0.35">
      <c r="A301" t="s">
        <v>13</v>
      </c>
      <c r="B301" t="s">
        <v>7</v>
      </c>
      <c r="C301" t="s">
        <v>11</v>
      </c>
      <c r="H301">
        <f>IF(B301="female", 0, 1)</f>
        <v>0</v>
      </c>
      <c r="I301">
        <f>IF(C301= "yes", 1, 0)</f>
        <v>0</v>
      </c>
      <c r="J301">
        <v>48</v>
      </c>
      <c r="K301">
        <v>28.88</v>
      </c>
      <c r="L301">
        <v>1</v>
      </c>
      <c r="M301">
        <v>9249.4951999999994</v>
      </c>
    </row>
    <row r="302" spans="1:13" x14ac:dyDescent="0.35">
      <c r="A302" t="s">
        <v>14</v>
      </c>
      <c r="B302" t="s">
        <v>10</v>
      </c>
      <c r="C302" t="s">
        <v>11</v>
      </c>
      <c r="H302">
        <f>IF(B302="female", 0, 1)</f>
        <v>1</v>
      </c>
      <c r="I302">
        <f>IF(C302= "yes", 1, 0)</f>
        <v>0</v>
      </c>
      <c r="J302">
        <v>36</v>
      </c>
      <c r="K302">
        <v>27.55</v>
      </c>
      <c r="L302">
        <v>3</v>
      </c>
      <c r="M302">
        <v>6746.7425000000003</v>
      </c>
    </row>
    <row r="303" spans="1:13" x14ac:dyDescent="0.35">
      <c r="A303" t="s">
        <v>14</v>
      </c>
      <c r="B303" t="s">
        <v>7</v>
      </c>
      <c r="C303" t="s">
        <v>8</v>
      </c>
      <c r="H303">
        <f>IF(B303="female", 0, 1)</f>
        <v>0</v>
      </c>
      <c r="I303">
        <f>IF(C303= "yes", 1, 0)</f>
        <v>1</v>
      </c>
      <c r="J303">
        <v>53</v>
      </c>
      <c r="K303">
        <v>22.61</v>
      </c>
      <c r="L303">
        <v>3</v>
      </c>
      <c r="M303">
        <v>24873.384900000001</v>
      </c>
    </row>
    <row r="304" spans="1:13" x14ac:dyDescent="0.35">
      <c r="A304" t="s">
        <v>12</v>
      </c>
      <c r="B304" t="s">
        <v>7</v>
      </c>
      <c r="C304" t="s">
        <v>11</v>
      </c>
      <c r="H304">
        <f>IF(B304="female", 0, 1)</f>
        <v>0</v>
      </c>
      <c r="I304">
        <f>IF(C304= "yes", 1, 0)</f>
        <v>0</v>
      </c>
      <c r="J304">
        <v>56</v>
      </c>
      <c r="K304">
        <v>37.51</v>
      </c>
      <c r="L304">
        <v>2</v>
      </c>
      <c r="M304">
        <v>12265.5069</v>
      </c>
    </row>
    <row r="305" spans="1:13" x14ac:dyDescent="0.35">
      <c r="A305" t="s">
        <v>12</v>
      </c>
      <c r="B305" t="s">
        <v>7</v>
      </c>
      <c r="C305" t="s">
        <v>11</v>
      </c>
      <c r="H305">
        <f>IF(B305="female", 0, 1)</f>
        <v>0</v>
      </c>
      <c r="I305">
        <f>IF(C305= "yes", 1, 0)</f>
        <v>0</v>
      </c>
      <c r="J305">
        <v>28</v>
      </c>
      <c r="K305">
        <v>33</v>
      </c>
      <c r="L305">
        <v>2</v>
      </c>
      <c r="M305">
        <v>4349.4620000000004</v>
      </c>
    </row>
    <row r="306" spans="1:13" x14ac:dyDescent="0.35">
      <c r="A306" t="s">
        <v>9</v>
      </c>
      <c r="B306" t="s">
        <v>7</v>
      </c>
      <c r="C306" t="s">
        <v>11</v>
      </c>
      <c r="H306">
        <f>IF(B306="female", 0, 1)</f>
        <v>0</v>
      </c>
      <c r="I306">
        <f>IF(C306= "yes", 1, 0)</f>
        <v>0</v>
      </c>
      <c r="J306">
        <v>57</v>
      </c>
      <c r="K306">
        <v>38</v>
      </c>
      <c r="L306">
        <v>2</v>
      </c>
      <c r="M306">
        <v>12646.207</v>
      </c>
    </row>
    <row r="307" spans="1:13" x14ac:dyDescent="0.35">
      <c r="A307" t="s">
        <v>13</v>
      </c>
      <c r="B307" t="s">
        <v>10</v>
      </c>
      <c r="C307" t="s">
        <v>11</v>
      </c>
      <c r="H307">
        <f>IF(B307="female", 0, 1)</f>
        <v>1</v>
      </c>
      <c r="I307">
        <f>IF(C307= "yes", 1, 0)</f>
        <v>0</v>
      </c>
      <c r="J307">
        <v>29</v>
      </c>
      <c r="K307">
        <v>33.344999999999999</v>
      </c>
      <c r="L307">
        <v>2</v>
      </c>
      <c r="M307">
        <v>19442.353500000001</v>
      </c>
    </row>
    <row r="308" spans="1:13" x14ac:dyDescent="0.35">
      <c r="A308" t="s">
        <v>9</v>
      </c>
      <c r="B308" t="s">
        <v>7</v>
      </c>
      <c r="C308" t="s">
        <v>11</v>
      </c>
      <c r="H308">
        <f>IF(B308="female", 0, 1)</f>
        <v>0</v>
      </c>
      <c r="I308">
        <f>IF(C308= "yes", 1, 0)</f>
        <v>0</v>
      </c>
      <c r="J308">
        <v>28</v>
      </c>
      <c r="K308">
        <v>27.5</v>
      </c>
      <c r="L308">
        <v>2</v>
      </c>
      <c r="M308">
        <v>20177.671129999999</v>
      </c>
    </row>
    <row r="309" spans="1:13" x14ac:dyDescent="0.35">
      <c r="A309" t="s">
        <v>12</v>
      </c>
      <c r="B309" t="s">
        <v>7</v>
      </c>
      <c r="C309" t="s">
        <v>11</v>
      </c>
      <c r="H309">
        <f>IF(B309="female", 0, 1)</f>
        <v>0</v>
      </c>
      <c r="I309">
        <f>IF(C309= "yes", 1, 0)</f>
        <v>0</v>
      </c>
      <c r="J309">
        <v>30</v>
      </c>
      <c r="K309">
        <v>33.33</v>
      </c>
      <c r="L309">
        <v>1</v>
      </c>
      <c r="M309">
        <v>4151.0286999999998</v>
      </c>
    </row>
    <row r="310" spans="1:13" x14ac:dyDescent="0.35">
      <c r="A310" t="s">
        <v>14</v>
      </c>
      <c r="B310" t="s">
        <v>10</v>
      </c>
      <c r="C310" t="s">
        <v>11</v>
      </c>
      <c r="H310">
        <f>IF(B310="female", 0, 1)</f>
        <v>1</v>
      </c>
      <c r="I310">
        <f>IF(C310= "yes", 1, 0)</f>
        <v>0</v>
      </c>
      <c r="J310">
        <v>58</v>
      </c>
      <c r="K310">
        <v>34.865000000000002</v>
      </c>
      <c r="L310">
        <v>0</v>
      </c>
      <c r="M310">
        <v>11944.594349999999</v>
      </c>
    </row>
    <row r="311" spans="1:13" x14ac:dyDescent="0.35">
      <c r="A311" t="s">
        <v>13</v>
      </c>
      <c r="B311" t="s">
        <v>7</v>
      </c>
      <c r="C311" t="s">
        <v>11</v>
      </c>
      <c r="H311">
        <f>IF(B311="female", 0, 1)</f>
        <v>0</v>
      </c>
      <c r="I311">
        <f>IF(C311= "yes", 1, 0)</f>
        <v>0</v>
      </c>
      <c r="J311">
        <v>41</v>
      </c>
      <c r="K311">
        <v>33.06</v>
      </c>
      <c r="L311">
        <v>2</v>
      </c>
      <c r="M311">
        <v>7749.1563999999998</v>
      </c>
    </row>
    <row r="312" spans="1:13" x14ac:dyDescent="0.35">
      <c r="A312" t="s">
        <v>9</v>
      </c>
      <c r="B312" t="s">
        <v>10</v>
      </c>
      <c r="C312" t="s">
        <v>11</v>
      </c>
      <c r="H312">
        <f>IF(B312="female", 0, 1)</f>
        <v>1</v>
      </c>
      <c r="I312">
        <f>IF(C312= "yes", 1, 0)</f>
        <v>0</v>
      </c>
      <c r="J312">
        <v>50</v>
      </c>
      <c r="K312">
        <v>26.6</v>
      </c>
      <c r="L312">
        <v>0</v>
      </c>
      <c r="M312">
        <v>8444.4740000000002</v>
      </c>
    </row>
    <row r="313" spans="1:13" x14ac:dyDescent="0.35">
      <c r="A313" t="s">
        <v>9</v>
      </c>
      <c r="B313" t="s">
        <v>7</v>
      </c>
      <c r="C313" t="s">
        <v>11</v>
      </c>
      <c r="H313">
        <f>IF(B313="female", 0, 1)</f>
        <v>0</v>
      </c>
      <c r="I313">
        <f>IF(C313= "yes", 1, 0)</f>
        <v>0</v>
      </c>
      <c r="J313">
        <v>19</v>
      </c>
      <c r="K313">
        <v>24.7</v>
      </c>
      <c r="L313">
        <v>0</v>
      </c>
      <c r="M313">
        <v>1737.376</v>
      </c>
    </row>
    <row r="314" spans="1:13" x14ac:dyDescent="0.35">
      <c r="A314" t="s">
        <v>12</v>
      </c>
      <c r="B314" t="s">
        <v>10</v>
      </c>
      <c r="C314" t="s">
        <v>8</v>
      </c>
      <c r="H314">
        <f>IF(B314="female", 0, 1)</f>
        <v>1</v>
      </c>
      <c r="I314">
        <f>IF(C314= "yes", 1, 0)</f>
        <v>1</v>
      </c>
      <c r="J314">
        <v>43</v>
      </c>
      <c r="K314">
        <v>35.97</v>
      </c>
      <c r="L314">
        <v>3</v>
      </c>
      <c r="M314">
        <v>42124.515299999999</v>
      </c>
    </row>
    <row r="315" spans="1:13" x14ac:dyDescent="0.35">
      <c r="A315" t="s">
        <v>12</v>
      </c>
      <c r="B315" t="s">
        <v>10</v>
      </c>
      <c r="C315" t="s">
        <v>11</v>
      </c>
      <c r="H315">
        <f>IF(B315="female", 0, 1)</f>
        <v>1</v>
      </c>
      <c r="I315">
        <f>IF(C315= "yes", 1, 0)</f>
        <v>0</v>
      </c>
      <c r="J315">
        <v>49</v>
      </c>
      <c r="K315">
        <v>35.86</v>
      </c>
      <c r="L315">
        <v>0</v>
      </c>
      <c r="M315">
        <v>8124.4084000000003</v>
      </c>
    </row>
    <row r="316" spans="1:13" x14ac:dyDescent="0.35">
      <c r="A316" t="s">
        <v>9</v>
      </c>
      <c r="B316" t="s">
        <v>7</v>
      </c>
      <c r="C316" t="s">
        <v>8</v>
      </c>
      <c r="H316">
        <f>IF(B316="female", 0, 1)</f>
        <v>0</v>
      </c>
      <c r="I316">
        <f>IF(C316= "yes", 1, 0)</f>
        <v>1</v>
      </c>
      <c r="J316">
        <v>27</v>
      </c>
      <c r="K316">
        <v>31.4</v>
      </c>
      <c r="L316">
        <v>0</v>
      </c>
      <c r="M316">
        <v>34838.873</v>
      </c>
    </row>
    <row r="317" spans="1:13" x14ac:dyDescent="0.35">
      <c r="A317" t="s">
        <v>14</v>
      </c>
      <c r="B317" t="s">
        <v>10</v>
      </c>
      <c r="C317" t="s">
        <v>11</v>
      </c>
      <c r="H317">
        <f>IF(B317="female", 0, 1)</f>
        <v>1</v>
      </c>
      <c r="I317">
        <f>IF(C317= "yes", 1, 0)</f>
        <v>0</v>
      </c>
      <c r="J317">
        <v>52</v>
      </c>
      <c r="K317">
        <v>33.25</v>
      </c>
      <c r="L317">
        <v>0</v>
      </c>
      <c r="M317">
        <v>9722.7695000000003</v>
      </c>
    </row>
    <row r="318" spans="1:13" x14ac:dyDescent="0.35">
      <c r="A318" t="s">
        <v>13</v>
      </c>
      <c r="B318" t="s">
        <v>10</v>
      </c>
      <c r="C318" t="s">
        <v>11</v>
      </c>
      <c r="H318">
        <f>IF(B318="female", 0, 1)</f>
        <v>1</v>
      </c>
      <c r="I318">
        <f>IF(C318= "yes", 1, 0)</f>
        <v>0</v>
      </c>
      <c r="J318">
        <v>50</v>
      </c>
      <c r="K318">
        <v>32.204999999999998</v>
      </c>
      <c r="L318">
        <v>0</v>
      </c>
      <c r="M318">
        <v>8835.2649500000007</v>
      </c>
    </row>
    <row r="319" spans="1:13" x14ac:dyDescent="0.35">
      <c r="A319" t="s">
        <v>14</v>
      </c>
      <c r="B319" t="s">
        <v>10</v>
      </c>
      <c r="C319" t="s">
        <v>11</v>
      </c>
      <c r="H319">
        <f>IF(B319="female", 0, 1)</f>
        <v>1</v>
      </c>
      <c r="I319">
        <f>IF(C319= "yes", 1, 0)</f>
        <v>0</v>
      </c>
      <c r="J319">
        <v>54</v>
      </c>
      <c r="K319">
        <v>32.774999999999999</v>
      </c>
      <c r="L319">
        <v>0</v>
      </c>
      <c r="M319">
        <v>10435.06525</v>
      </c>
    </row>
    <row r="320" spans="1:13" x14ac:dyDescent="0.35">
      <c r="A320" t="s">
        <v>13</v>
      </c>
      <c r="B320" t="s">
        <v>7</v>
      </c>
      <c r="C320" t="s">
        <v>11</v>
      </c>
      <c r="H320">
        <f>IF(B320="female", 0, 1)</f>
        <v>0</v>
      </c>
      <c r="I320">
        <f>IF(C320= "yes", 1, 0)</f>
        <v>0</v>
      </c>
      <c r="J320">
        <v>44</v>
      </c>
      <c r="K320">
        <v>27.645</v>
      </c>
      <c r="L320">
        <v>0</v>
      </c>
      <c r="M320">
        <v>7421.1945500000002</v>
      </c>
    </row>
    <row r="321" spans="1:13" x14ac:dyDescent="0.35">
      <c r="A321" t="s">
        <v>14</v>
      </c>
      <c r="B321" t="s">
        <v>10</v>
      </c>
      <c r="C321" t="s">
        <v>11</v>
      </c>
      <c r="H321">
        <f>IF(B321="female", 0, 1)</f>
        <v>1</v>
      </c>
      <c r="I321">
        <f>IF(C321= "yes", 1, 0)</f>
        <v>0</v>
      </c>
      <c r="J321">
        <v>32</v>
      </c>
      <c r="K321">
        <v>37.335000000000001</v>
      </c>
      <c r="L321">
        <v>1</v>
      </c>
      <c r="M321">
        <v>4667.6076499999999</v>
      </c>
    </row>
    <row r="322" spans="1:13" x14ac:dyDescent="0.35">
      <c r="A322" t="s">
        <v>13</v>
      </c>
      <c r="B322" t="s">
        <v>10</v>
      </c>
      <c r="C322" t="s">
        <v>11</v>
      </c>
      <c r="H322">
        <f>IF(B322="female", 0, 1)</f>
        <v>1</v>
      </c>
      <c r="I322">
        <f>IF(C322= "yes", 1, 0)</f>
        <v>0</v>
      </c>
      <c r="J322">
        <v>34</v>
      </c>
      <c r="K322">
        <v>25.27</v>
      </c>
      <c r="L322">
        <v>1</v>
      </c>
      <c r="M322">
        <v>4894.7533000000003</v>
      </c>
    </row>
    <row r="323" spans="1:13" x14ac:dyDescent="0.35">
      <c r="A323" t="s">
        <v>14</v>
      </c>
      <c r="B323" t="s">
        <v>7</v>
      </c>
      <c r="C323" t="s">
        <v>11</v>
      </c>
      <c r="H323">
        <f>IF(B323="female", 0, 1)</f>
        <v>0</v>
      </c>
      <c r="I323">
        <f>IF(C323= "yes", 1, 0)</f>
        <v>0</v>
      </c>
      <c r="J323">
        <v>26</v>
      </c>
      <c r="K323">
        <v>29.64</v>
      </c>
      <c r="L323">
        <v>4</v>
      </c>
      <c r="M323">
        <v>24671.663339999999</v>
      </c>
    </row>
    <row r="324" spans="1:13" x14ac:dyDescent="0.35">
      <c r="A324" t="s">
        <v>9</v>
      </c>
      <c r="B324" t="s">
        <v>10</v>
      </c>
      <c r="C324" t="s">
        <v>8</v>
      </c>
      <c r="H324">
        <f>IF(B324="female", 0, 1)</f>
        <v>1</v>
      </c>
      <c r="I324">
        <f>IF(C324= "yes", 1, 0)</f>
        <v>1</v>
      </c>
      <c r="J324">
        <v>34</v>
      </c>
      <c r="K324">
        <v>30.8</v>
      </c>
      <c r="L324">
        <v>0</v>
      </c>
      <c r="M324">
        <v>35491.64</v>
      </c>
    </row>
    <row r="325" spans="1:13" x14ac:dyDescent="0.35">
      <c r="A325" t="s">
        <v>14</v>
      </c>
      <c r="B325" t="s">
        <v>10</v>
      </c>
      <c r="C325" t="s">
        <v>11</v>
      </c>
      <c r="H325">
        <f>IF(B325="female", 0, 1)</f>
        <v>1</v>
      </c>
      <c r="I325">
        <f>IF(C325= "yes", 1, 0)</f>
        <v>0</v>
      </c>
      <c r="J325">
        <v>57</v>
      </c>
      <c r="K325">
        <v>40.945</v>
      </c>
      <c r="L325">
        <v>0</v>
      </c>
      <c r="M325">
        <v>11566.30055</v>
      </c>
    </row>
    <row r="326" spans="1:13" x14ac:dyDescent="0.35">
      <c r="A326" t="s">
        <v>9</v>
      </c>
      <c r="B326" t="s">
        <v>10</v>
      </c>
      <c r="C326" t="s">
        <v>11</v>
      </c>
      <c r="H326">
        <f>IF(B326="female", 0, 1)</f>
        <v>1</v>
      </c>
      <c r="I326">
        <f>IF(C326= "yes", 1, 0)</f>
        <v>0</v>
      </c>
      <c r="J326">
        <v>29</v>
      </c>
      <c r="K326">
        <v>27.2</v>
      </c>
      <c r="L326">
        <v>0</v>
      </c>
      <c r="M326">
        <v>2866.0909999999999</v>
      </c>
    </row>
    <row r="327" spans="1:13" x14ac:dyDescent="0.35">
      <c r="A327" t="s">
        <v>14</v>
      </c>
      <c r="B327" t="s">
        <v>10</v>
      </c>
      <c r="C327" t="s">
        <v>11</v>
      </c>
      <c r="H327">
        <f>IF(B327="female", 0, 1)</f>
        <v>1</v>
      </c>
      <c r="I327">
        <f>IF(C327= "yes", 1, 0)</f>
        <v>0</v>
      </c>
      <c r="J327">
        <v>40</v>
      </c>
      <c r="K327">
        <v>34.104999999999997</v>
      </c>
      <c r="L327">
        <v>1</v>
      </c>
      <c r="M327">
        <v>6600.2059499999996</v>
      </c>
    </row>
    <row r="328" spans="1:13" x14ac:dyDescent="0.35">
      <c r="A328" t="s">
        <v>12</v>
      </c>
      <c r="B328" t="s">
        <v>7</v>
      </c>
      <c r="C328" t="s">
        <v>11</v>
      </c>
      <c r="H328">
        <f>IF(B328="female", 0, 1)</f>
        <v>0</v>
      </c>
      <c r="I328">
        <f>IF(C328= "yes", 1, 0)</f>
        <v>0</v>
      </c>
      <c r="J328">
        <v>27</v>
      </c>
      <c r="K328">
        <v>23.21</v>
      </c>
      <c r="L328">
        <v>1</v>
      </c>
      <c r="M328">
        <v>3561.8888999999999</v>
      </c>
    </row>
    <row r="329" spans="1:13" x14ac:dyDescent="0.35">
      <c r="A329" t="s">
        <v>13</v>
      </c>
      <c r="B329" t="s">
        <v>10</v>
      </c>
      <c r="C329" t="s">
        <v>8</v>
      </c>
      <c r="H329">
        <f>IF(B329="female", 0, 1)</f>
        <v>1</v>
      </c>
      <c r="I329">
        <f>IF(C329= "yes", 1, 0)</f>
        <v>1</v>
      </c>
      <c r="J329">
        <v>45</v>
      </c>
      <c r="K329">
        <v>36.479999999999997</v>
      </c>
      <c r="L329">
        <v>2</v>
      </c>
      <c r="M329">
        <v>42760.502200000003</v>
      </c>
    </row>
    <row r="330" spans="1:13" x14ac:dyDescent="0.35">
      <c r="A330" t="s">
        <v>9</v>
      </c>
      <c r="B330" t="s">
        <v>7</v>
      </c>
      <c r="C330" t="s">
        <v>8</v>
      </c>
      <c r="H330">
        <f>IF(B330="female", 0, 1)</f>
        <v>0</v>
      </c>
      <c r="I330">
        <f>IF(C330= "yes", 1, 0)</f>
        <v>1</v>
      </c>
      <c r="J330">
        <v>64</v>
      </c>
      <c r="K330">
        <v>33.799999999999997</v>
      </c>
      <c r="L330">
        <v>1</v>
      </c>
      <c r="M330">
        <v>47928.03</v>
      </c>
    </row>
    <row r="331" spans="1:13" x14ac:dyDescent="0.35">
      <c r="A331" t="s">
        <v>9</v>
      </c>
      <c r="B331" t="s">
        <v>10</v>
      </c>
      <c r="C331" t="s">
        <v>11</v>
      </c>
      <c r="H331">
        <f>IF(B331="female", 0, 1)</f>
        <v>1</v>
      </c>
      <c r="I331">
        <f>IF(C331= "yes", 1, 0)</f>
        <v>0</v>
      </c>
      <c r="J331">
        <v>52</v>
      </c>
      <c r="K331">
        <v>36.700000000000003</v>
      </c>
      <c r="L331">
        <v>0</v>
      </c>
      <c r="M331">
        <v>9144.5650000000005</v>
      </c>
    </row>
    <row r="332" spans="1:13" x14ac:dyDescent="0.35">
      <c r="A332" t="s">
        <v>14</v>
      </c>
      <c r="B332" t="s">
        <v>7</v>
      </c>
      <c r="C332" t="s">
        <v>8</v>
      </c>
      <c r="H332">
        <f>IF(B332="female", 0, 1)</f>
        <v>0</v>
      </c>
      <c r="I332">
        <f>IF(C332= "yes", 1, 0)</f>
        <v>1</v>
      </c>
      <c r="J332">
        <v>61</v>
      </c>
      <c r="K332">
        <v>36.384999999999998</v>
      </c>
      <c r="L332">
        <v>1</v>
      </c>
      <c r="M332">
        <v>48517.563150000002</v>
      </c>
    </row>
    <row r="333" spans="1:13" x14ac:dyDescent="0.35">
      <c r="A333" t="s">
        <v>13</v>
      </c>
      <c r="B333" t="s">
        <v>10</v>
      </c>
      <c r="C333" t="s">
        <v>8</v>
      </c>
      <c r="H333">
        <f>IF(B333="female", 0, 1)</f>
        <v>1</v>
      </c>
      <c r="I333">
        <f>IF(C333= "yes", 1, 0)</f>
        <v>1</v>
      </c>
      <c r="J333">
        <v>52</v>
      </c>
      <c r="K333">
        <v>27.36</v>
      </c>
      <c r="L333">
        <v>0</v>
      </c>
      <c r="M333">
        <v>24393.6224</v>
      </c>
    </row>
    <row r="334" spans="1:13" x14ac:dyDescent="0.35">
      <c r="A334" t="s">
        <v>13</v>
      </c>
      <c r="B334" t="s">
        <v>7</v>
      </c>
      <c r="C334" t="s">
        <v>11</v>
      </c>
      <c r="H334">
        <f>IF(B334="female", 0, 1)</f>
        <v>0</v>
      </c>
      <c r="I334">
        <f>IF(C334= "yes", 1, 0)</f>
        <v>0</v>
      </c>
      <c r="J334">
        <v>61</v>
      </c>
      <c r="K334">
        <v>31.16</v>
      </c>
      <c r="L334">
        <v>0</v>
      </c>
      <c r="M334">
        <v>13429.035400000001</v>
      </c>
    </row>
    <row r="335" spans="1:13" x14ac:dyDescent="0.35">
      <c r="A335" t="s">
        <v>14</v>
      </c>
      <c r="B335" t="s">
        <v>7</v>
      </c>
      <c r="C335" t="s">
        <v>11</v>
      </c>
      <c r="H335">
        <f>IF(B335="female", 0, 1)</f>
        <v>0</v>
      </c>
      <c r="I335">
        <f>IF(C335= "yes", 1, 0)</f>
        <v>0</v>
      </c>
      <c r="J335">
        <v>56</v>
      </c>
      <c r="K335">
        <v>28.785</v>
      </c>
      <c r="L335">
        <v>0</v>
      </c>
      <c r="M335">
        <v>11658.379150000001</v>
      </c>
    </row>
    <row r="336" spans="1:13" x14ac:dyDescent="0.35">
      <c r="A336" t="s">
        <v>14</v>
      </c>
      <c r="B336" t="s">
        <v>7</v>
      </c>
      <c r="C336" t="s">
        <v>11</v>
      </c>
      <c r="H336">
        <f>IF(B336="female", 0, 1)</f>
        <v>0</v>
      </c>
      <c r="I336">
        <f>IF(C336= "yes", 1, 0)</f>
        <v>0</v>
      </c>
      <c r="J336">
        <v>43</v>
      </c>
      <c r="K336">
        <v>35.72</v>
      </c>
      <c r="L336">
        <v>2</v>
      </c>
      <c r="M336">
        <v>19144.576519999999</v>
      </c>
    </row>
    <row r="337" spans="1:13" x14ac:dyDescent="0.35">
      <c r="A337" t="s">
        <v>9</v>
      </c>
      <c r="B337" t="s">
        <v>10</v>
      </c>
      <c r="C337" t="s">
        <v>11</v>
      </c>
      <c r="H337">
        <f>IF(B337="female", 0, 1)</f>
        <v>1</v>
      </c>
      <c r="I337">
        <f>IF(C337= "yes", 1, 0)</f>
        <v>0</v>
      </c>
      <c r="J337">
        <v>64</v>
      </c>
      <c r="K337">
        <v>34.5</v>
      </c>
      <c r="L337">
        <v>0</v>
      </c>
      <c r="M337">
        <v>13822.803</v>
      </c>
    </row>
    <row r="338" spans="1:13" x14ac:dyDescent="0.35">
      <c r="A338" t="s">
        <v>12</v>
      </c>
      <c r="B338" t="s">
        <v>10</v>
      </c>
      <c r="C338" t="s">
        <v>11</v>
      </c>
      <c r="H338">
        <f>IF(B338="female", 0, 1)</f>
        <v>1</v>
      </c>
      <c r="I338">
        <f>IF(C338= "yes", 1, 0)</f>
        <v>0</v>
      </c>
      <c r="J338">
        <v>60</v>
      </c>
      <c r="K338">
        <v>25.74</v>
      </c>
      <c r="L338">
        <v>0</v>
      </c>
      <c r="M338">
        <v>12142.578600000001</v>
      </c>
    </row>
    <row r="339" spans="1:13" x14ac:dyDescent="0.35">
      <c r="A339" t="s">
        <v>13</v>
      </c>
      <c r="B339" t="s">
        <v>10</v>
      </c>
      <c r="C339" t="s">
        <v>11</v>
      </c>
      <c r="H339">
        <f>IF(B339="female", 0, 1)</f>
        <v>1</v>
      </c>
      <c r="I339">
        <f>IF(C339= "yes", 1, 0)</f>
        <v>0</v>
      </c>
      <c r="J339">
        <v>62</v>
      </c>
      <c r="K339">
        <v>27.55</v>
      </c>
      <c r="L339">
        <v>1</v>
      </c>
      <c r="M339">
        <v>13937.666499999999</v>
      </c>
    </row>
    <row r="340" spans="1:13" x14ac:dyDescent="0.35">
      <c r="A340" t="s">
        <v>14</v>
      </c>
      <c r="B340" t="s">
        <v>10</v>
      </c>
      <c r="C340" t="s">
        <v>8</v>
      </c>
      <c r="H340">
        <f>IF(B340="female", 0, 1)</f>
        <v>1</v>
      </c>
      <c r="I340">
        <f>IF(C340= "yes", 1, 0)</f>
        <v>1</v>
      </c>
      <c r="J340">
        <v>50</v>
      </c>
      <c r="K340">
        <v>32.299999999999997</v>
      </c>
      <c r="L340">
        <v>1</v>
      </c>
      <c r="M340">
        <v>41919.097000000002</v>
      </c>
    </row>
    <row r="341" spans="1:13" x14ac:dyDescent="0.35">
      <c r="A341" t="s">
        <v>12</v>
      </c>
      <c r="B341" t="s">
        <v>7</v>
      </c>
      <c r="C341" t="s">
        <v>11</v>
      </c>
      <c r="H341">
        <f>IF(B341="female", 0, 1)</f>
        <v>0</v>
      </c>
      <c r="I341">
        <f>IF(C341= "yes", 1, 0)</f>
        <v>0</v>
      </c>
      <c r="J341">
        <v>46</v>
      </c>
      <c r="K341">
        <v>27.72</v>
      </c>
      <c r="L341">
        <v>1</v>
      </c>
      <c r="M341">
        <v>8232.6388000000006</v>
      </c>
    </row>
    <row r="342" spans="1:13" x14ac:dyDescent="0.35">
      <c r="A342" t="s">
        <v>9</v>
      </c>
      <c r="B342" t="s">
        <v>7</v>
      </c>
      <c r="C342" t="s">
        <v>11</v>
      </c>
      <c r="H342">
        <f>IF(B342="female", 0, 1)</f>
        <v>0</v>
      </c>
      <c r="I342">
        <f>IF(C342= "yes", 1, 0)</f>
        <v>0</v>
      </c>
      <c r="J342">
        <v>24</v>
      </c>
      <c r="K342">
        <v>27.6</v>
      </c>
      <c r="L342">
        <v>0</v>
      </c>
      <c r="M342">
        <v>18955.220170000001</v>
      </c>
    </row>
    <row r="343" spans="1:13" x14ac:dyDescent="0.35">
      <c r="A343" t="s">
        <v>13</v>
      </c>
      <c r="B343" t="s">
        <v>10</v>
      </c>
      <c r="C343" t="s">
        <v>11</v>
      </c>
      <c r="H343">
        <f>IF(B343="female", 0, 1)</f>
        <v>1</v>
      </c>
      <c r="I343">
        <f>IF(C343= "yes", 1, 0)</f>
        <v>0</v>
      </c>
      <c r="J343">
        <v>62</v>
      </c>
      <c r="K343">
        <v>30.02</v>
      </c>
      <c r="L343">
        <v>0</v>
      </c>
      <c r="M343">
        <v>13352.0998</v>
      </c>
    </row>
    <row r="344" spans="1:13" x14ac:dyDescent="0.35">
      <c r="A344" t="s">
        <v>14</v>
      </c>
      <c r="B344" t="s">
        <v>7</v>
      </c>
      <c r="C344" t="s">
        <v>11</v>
      </c>
      <c r="H344">
        <f>IF(B344="female", 0, 1)</f>
        <v>0</v>
      </c>
      <c r="I344">
        <f>IF(C344= "yes", 1, 0)</f>
        <v>0</v>
      </c>
      <c r="J344">
        <v>60</v>
      </c>
      <c r="K344">
        <v>27.55</v>
      </c>
      <c r="L344">
        <v>0</v>
      </c>
      <c r="M344">
        <v>13217.094499999999</v>
      </c>
    </row>
    <row r="345" spans="1:13" x14ac:dyDescent="0.35">
      <c r="A345" t="s">
        <v>14</v>
      </c>
      <c r="B345" t="s">
        <v>10</v>
      </c>
      <c r="C345" t="s">
        <v>11</v>
      </c>
      <c r="H345">
        <f>IF(B345="female", 0, 1)</f>
        <v>1</v>
      </c>
      <c r="I345">
        <f>IF(C345= "yes", 1, 0)</f>
        <v>0</v>
      </c>
      <c r="J345">
        <v>63</v>
      </c>
      <c r="K345">
        <v>36.765000000000001</v>
      </c>
      <c r="L345">
        <v>0</v>
      </c>
      <c r="M345">
        <v>13981.850350000001</v>
      </c>
    </row>
    <row r="346" spans="1:13" x14ac:dyDescent="0.35">
      <c r="A346" t="s">
        <v>12</v>
      </c>
      <c r="B346" t="s">
        <v>7</v>
      </c>
      <c r="C346" t="s">
        <v>11</v>
      </c>
      <c r="H346">
        <f>IF(B346="female", 0, 1)</f>
        <v>0</v>
      </c>
      <c r="I346">
        <f>IF(C346= "yes", 1, 0)</f>
        <v>0</v>
      </c>
      <c r="J346">
        <v>49</v>
      </c>
      <c r="K346">
        <v>41.47</v>
      </c>
      <c r="L346">
        <v>4</v>
      </c>
      <c r="M346">
        <v>10977.2063</v>
      </c>
    </row>
    <row r="347" spans="1:13" x14ac:dyDescent="0.35">
      <c r="A347" t="s">
        <v>12</v>
      </c>
      <c r="B347" t="s">
        <v>7</v>
      </c>
      <c r="C347" t="s">
        <v>11</v>
      </c>
      <c r="H347">
        <f>IF(B347="female", 0, 1)</f>
        <v>0</v>
      </c>
      <c r="I347">
        <f>IF(C347= "yes", 1, 0)</f>
        <v>0</v>
      </c>
      <c r="J347">
        <v>34</v>
      </c>
      <c r="K347">
        <v>29.26</v>
      </c>
      <c r="L347">
        <v>3</v>
      </c>
      <c r="M347">
        <v>6184.2993999999999</v>
      </c>
    </row>
    <row r="348" spans="1:13" x14ac:dyDescent="0.35">
      <c r="A348" t="s">
        <v>12</v>
      </c>
      <c r="B348" t="s">
        <v>10</v>
      </c>
      <c r="C348" t="s">
        <v>11</v>
      </c>
      <c r="H348">
        <f>IF(B348="female", 0, 1)</f>
        <v>1</v>
      </c>
      <c r="I348">
        <f>IF(C348= "yes", 1, 0)</f>
        <v>0</v>
      </c>
      <c r="J348">
        <v>33</v>
      </c>
      <c r="K348">
        <v>35.75</v>
      </c>
      <c r="L348">
        <v>2</v>
      </c>
      <c r="M348">
        <v>4889.9994999999999</v>
      </c>
    </row>
    <row r="349" spans="1:13" x14ac:dyDescent="0.35">
      <c r="A349" t="s">
        <v>14</v>
      </c>
      <c r="B349" t="s">
        <v>10</v>
      </c>
      <c r="C349" t="s">
        <v>11</v>
      </c>
      <c r="H349">
        <f>IF(B349="female", 0, 1)</f>
        <v>1</v>
      </c>
      <c r="I349">
        <f>IF(C349= "yes", 1, 0)</f>
        <v>0</v>
      </c>
      <c r="J349">
        <v>46</v>
      </c>
      <c r="K349">
        <v>33.344999999999999</v>
      </c>
      <c r="L349">
        <v>1</v>
      </c>
      <c r="M349">
        <v>8334.4575499999992</v>
      </c>
    </row>
    <row r="350" spans="1:13" x14ac:dyDescent="0.35">
      <c r="A350" t="s">
        <v>12</v>
      </c>
      <c r="B350" t="s">
        <v>7</v>
      </c>
      <c r="C350" t="s">
        <v>11</v>
      </c>
      <c r="H350">
        <f>IF(B350="female", 0, 1)</f>
        <v>0</v>
      </c>
      <c r="I350">
        <f>IF(C350= "yes", 1, 0)</f>
        <v>0</v>
      </c>
      <c r="J350">
        <v>36</v>
      </c>
      <c r="K350">
        <v>29.92</v>
      </c>
      <c r="L350">
        <v>1</v>
      </c>
      <c r="M350">
        <v>5478.0367999999999</v>
      </c>
    </row>
    <row r="351" spans="1:13" x14ac:dyDescent="0.35">
      <c r="A351" t="s">
        <v>13</v>
      </c>
      <c r="B351" t="s">
        <v>10</v>
      </c>
      <c r="C351" t="s">
        <v>11</v>
      </c>
      <c r="H351">
        <f>IF(B351="female", 0, 1)</f>
        <v>1</v>
      </c>
      <c r="I351">
        <f>IF(C351= "yes", 1, 0)</f>
        <v>0</v>
      </c>
      <c r="J351">
        <v>19</v>
      </c>
      <c r="K351">
        <v>27.835000000000001</v>
      </c>
      <c r="L351">
        <v>0</v>
      </c>
      <c r="M351">
        <v>1635.7336499999999</v>
      </c>
    </row>
    <row r="352" spans="1:13" x14ac:dyDescent="0.35">
      <c r="A352" t="s">
        <v>13</v>
      </c>
      <c r="B352" t="s">
        <v>7</v>
      </c>
      <c r="C352" t="s">
        <v>11</v>
      </c>
      <c r="H352">
        <f>IF(B352="female", 0, 1)</f>
        <v>0</v>
      </c>
      <c r="I352">
        <f>IF(C352= "yes", 1, 0)</f>
        <v>0</v>
      </c>
      <c r="J352">
        <v>57</v>
      </c>
      <c r="K352">
        <v>23.18</v>
      </c>
      <c r="L352">
        <v>0</v>
      </c>
      <c r="M352">
        <v>11830.6072</v>
      </c>
    </row>
    <row r="353" spans="1:13" x14ac:dyDescent="0.35">
      <c r="A353" t="s">
        <v>9</v>
      </c>
      <c r="B353" t="s">
        <v>7</v>
      </c>
      <c r="C353" t="s">
        <v>11</v>
      </c>
      <c r="H353">
        <f>IF(B353="female", 0, 1)</f>
        <v>0</v>
      </c>
      <c r="I353">
        <f>IF(C353= "yes", 1, 0)</f>
        <v>0</v>
      </c>
      <c r="J353">
        <v>50</v>
      </c>
      <c r="K353">
        <v>25.6</v>
      </c>
      <c r="L353">
        <v>0</v>
      </c>
      <c r="M353">
        <v>8932.0840000000007</v>
      </c>
    </row>
    <row r="354" spans="1:13" x14ac:dyDescent="0.35">
      <c r="A354" t="s">
        <v>9</v>
      </c>
      <c r="B354" t="s">
        <v>7</v>
      </c>
      <c r="C354" t="s">
        <v>11</v>
      </c>
      <c r="H354">
        <f>IF(B354="female", 0, 1)</f>
        <v>0</v>
      </c>
      <c r="I354">
        <f>IF(C354= "yes", 1, 0)</f>
        <v>0</v>
      </c>
      <c r="J354">
        <v>30</v>
      </c>
      <c r="K354">
        <v>27.7</v>
      </c>
      <c r="L354">
        <v>0</v>
      </c>
      <c r="M354">
        <v>3554.203</v>
      </c>
    </row>
    <row r="355" spans="1:13" x14ac:dyDescent="0.35">
      <c r="A355" t="s">
        <v>14</v>
      </c>
      <c r="B355" t="s">
        <v>10</v>
      </c>
      <c r="C355" t="s">
        <v>11</v>
      </c>
      <c r="H355">
        <f>IF(B355="female", 0, 1)</f>
        <v>1</v>
      </c>
      <c r="I355">
        <f>IF(C355= "yes", 1, 0)</f>
        <v>0</v>
      </c>
      <c r="J355">
        <v>33</v>
      </c>
      <c r="K355">
        <v>35.244999999999997</v>
      </c>
      <c r="L355">
        <v>0</v>
      </c>
      <c r="M355">
        <v>12404.8791</v>
      </c>
    </row>
    <row r="356" spans="1:13" x14ac:dyDescent="0.35">
      <c r="A356" t="s">
        <v>12</v>
      </c>
      <c r="B356" t="s">
        <v>7</v>
      </c>
      <c r="C356" t="s">
        <v>11</v>
      </c>
      <c r="H356">
        <f>IF(B356="female", 0, 1)</f>
        <v>0</v>
      </c>
      <c r="I356">
        <f>IF(C356= "yes", 1, 0)</f>
        <v>0</v>
      </c>
      <c r="J356">
        <v>18</v>
      </c>
      <c r="K356">
        <v>38.28</v>
      </c>
      <c r="L356">
        <v>0</v>
      </c>
      <c r="M356">
        <v>14133.03775</v>
      </c>
    </row>
    <row r="357" spans="1:13" x14ac:dyDescent="0.35">
      <c r="A357" t="s">
        <v>9</v>
      </c>
      <c r="B357" t="s">
        <v>10</v>
      </c>
      <c r="C357" t="s">
        <v>11</v>
      </c>
      <c r="H357">
        <f>IF(B357="female", 0, 1)</f>
        <v>1</v>
      </c>
      <c r="I357">
        <f>IF(C357= "yes", 1, 0)</f>
        <v>0</v>
      </c>
      <c r="J357">
        <v>46</v>
      </c>
      <c r="K357">
        <v>27.6</v>
      </c>
      <c r="L357">
        <v>0</v>
      </c>
      <c r="M357">
        <v>24603.04837</v>
      </c>
    </row>
    <row r="358" spans="1:13" x14ac:dyDescent="0.35">
      <c r="A358" t="s">
        <v>12</v>
      </c>
      <c r="B358" t="s">
        <v>10</v>
      </c>
      <c r="C358" t="s">
        <v>11</v>
      </c>
      <c r="H358">
        <f>IF(B358="female", 0, 1)</f>
        <v>1</v>
      </c>
      <c r="I358">
        <f>IF(C358= "yes", 1, 0)</f>
        <v>0</v>
      </c>
      <c r="J358">
        <v>46</v>
      </c>
      <c r="K358">
        <v>43.89</v>
      </c>
      <c r="L358">
        <v>3</v>
      </c>
      <c r="M358">
        <v>8944.1151000000009</v>
      </c>
    </row>
    <row r="359" spans="1:13" x14ac:dyDescent="0.35">
      <c r="A359" t="s">
        <v>13</v>
      </c>
      <c r="B359" t="s">
        <v>10</v>
      </c>
      <c r="C359" t="s">
        <v>11</v>
      </c>
      <c r="H359">
        <f>IF(B359="female", 0, 1)</f>
        <v>1</v>
      </c>
      <c r="I359">
        <f>IF(C359= "yes", 1, 0)</f>
        <v>0</v>
      </c>
      <c r="J359">
        <v>47</v>
      </c>
      <c r="K359">
        <v>29.83</v>
      </c>
      <c r="L359">
        <v>3</v>
      </c>
      <c r="M359">
        <v>9620.3307000000004</v>
      </c>
    </row>
    <row r="360" spans="1:13" x14ac:dyDescent="0.35">
      <c r="A360" t="s">
        <v>12</v>
      </c>
      <c r="B360" t="s">
        <v>10</v>
      </c>
      <c r="C360" t="s">
        <v>11</v>
      </c>
      <c r="H360">
        <f>IF(B360="female", 0, 1)</f>
        <v>1</v>
      </c>
      <c r="I360">
        <f>IF(C360= "yes", 1, 0)</f>
        <v>0</v>
      </c>
      <c r="J360">
        <v>23</v>
      </c>
      <c r="K360">
        <v>41.91</v>
      </c>
      <c r="L360">
        <v>0</v>
      </c>
      <c r="M360">
        <v>1837.2819</v>
      </c>
    </row>
    <row r="361" spans="1:13" x14ac:dyDescent="0.35">
      <c r="A361" t="s">
        <v>12</v>
      </c>
      <c r="B361" t="s">
        <v>7</v>
      </c>
      <c r="C361" t="s">
        <v>11</v>
      </c>
      <c r="H361">
        <f>IF(B361="female", 0, 1)</f>
        <v>0</v>
      </c>
      <c r="I361">
        <f>IF(C361= "yes", 1, 0)</f>
        <v>0</v>
      </c>
      <c r="J361">
        <v>18</v>
      </c>
      <c r="K361">
        <v>20.79</v>
      </c>
      <c r="L361">
        <v>0</v>
      </c>
      <c r="M361">
        <v>1607.5101</v>
      </c>
    </row>
    <row r="362" spans="1:13" x14ac:dyDescent="0.35">
      <c r="A362" t="s">
        <v>14</v>
      </c>
      <c r="B362" t="s">
        <v>7</v>
      </c>
      <c r="C362" t="s">
        <v>11</v>
      </c>
      <c r="H362">
        <f>IF(B362="female", 0, 1)</f>
        <v>0</v>
      </c>
      <c r="I362">
        <f>IF(C362= "yes", 1, 0)</f>
        <v>0</v>
      </c>
      <c r="J362">
        <v>48</v>
      </c>
      <c r="K362">
        <v>32.299999999999997</v>
      </c>
      <c r="L362">
        <v>2</v>
      </c>
      <c r="M362">
        <v>10043.249</v>
      </c>
    </row>
    <row r="363" spans="1:13" x14ac:dyDescent="0.35">
      <c r="A363" t="s">
        <v>9</v>
      </c>
      <c r="B363" t="s">
        <v>10</v>
      </c>
      <c r="C363" t="s">
        <v>11</v>
      </c>
      <c r="H363">
        <f>IF(B363="female", 0, 1)</f>
        <v>1</v>
      </c>
      <c r="I363">
        <f>IF(C363= "yes", 1, 0)</f>
        <v>0</v>
      </c>
      <c r="J363">
        <v>35</v>
      </c>
      <c r="K363">
        <v>30.5</v>
      </c>
      <c r="L363">
        <v>1</v>
      </c>
      <c r="M363">
        <v>4751.07</v>
      </c>
    </row>
    <row r="364" spans="1:13" x14ac:dyDescent="0.35">
      <c r="A364" t="s">
        <v>9</v>
      </c>
      <c r="B364" t="s">
        <v>7</v>
      </c>
      <c r="C364" t="s">
        <v>8</v>
      </c>
      <c r="H364">
        <f>IF(B364="female", 0, 1)</f>
        <v>0</v>
      </c>
      <c r="I364">
        <f>IF(C364= "yes", 1, 0)</f>
        <v>1</v>
      </c>
      <c r="J364">
        <v>19</v>
      </c>
      <c r="K364">
        <v>21.7</v>
      </c>
      <c r="L364">
        <v>0</v>
      </c>
      <c r="M364">
        <v>13844.505999999999</v>
      </c>
    </row>
    <row r="365" spans="1:13" x14ac:dyDescent="0.35">
      <c r="A365" t="s">
        <v>9</v>
      </c>
      <c r="B365" t="s">
        <v>7</v>
      </c>
      <c r="C365" t="s">
        <v>11</v>
      </c>
      <c r="H365">
        <f>IF(B365="female", 0, 1)</f>
        <v>0</v>
      </c>
      <c r="I365">
        <f>IF(C365= "yes", 1, 0)</f>
        <v>0</v>
      </c>
      <c r="J365">
        <v>21</v>
      </c>
      <c r="K365">
        <v>26.4</v>
      </c>
      <c r="L365">
        <v>1</v>
      </c>
      <c r="M365">
        <v>2597.779</v>
      </c>
    </row>
    <row r="366" spans="1:13" x14ac:dyDescent="0.35">
      <c r="A366" t="s">
        <v>12</v>
      </c>
      <c r="B366" t="s">
        <v>7</v>
      </c>
      <c r="C366" t="s">
        <v>11</v>
      </c>
      <c r="H366">
        <f>IF(B366="female", 0, 1)</f>
        <v>0</v>
      </c>
      <c r="I366">
        <f>IF(C366= "yes", 1, 0)</f>
        <v>0</v>
      </c>
      <c r="J366">
        <v>21</v>
      </c>
      <c r="K366">
        <v>21.89</v>
      </c>
      <c r="L366">
        <v>2</v>
      </c>
      <c r="M366">
        <v>3180.5101</v>
      </c>
    </row>
    <row r="367" spans="1:13" x14ac:dyDescent="0.35">
      <c r="A367" t="s">
        <v>14</v>
      </c>
      <c r="B367" t="s">
        <v>7</v>
      </c>
      <c r="C367" t="s">
        <v>11</v>
      </c>
      <c r="H367">
        <f>IF(B367="female", 0, 1)</f>
        <v>0</v>
      </c>
      <c r="I367">
        <f>IF(C367= "yes", 1, 0)</f>
        <v>0</v>
      </c>
      <c r="J367">
        <v>49</v>
      </c>
      <c r="K367">
        <v>30.78</v>
      </c>
      <c r="L367">
        <v>1</v>
      </c>
      <c r="M367">
        <v>9778.3472000000002</v>
      </c>
    </row>
    <row r="368" spans="1:13" x14ac:dyDescent="0.35">
      <c r="A368" t="s">
        <v>14</v>
      </c>
      <c r="B368" t="s">
        <v>7</v>
      </c>
      <c r="C368" t="s">
        <v>11</v>
      </c>
      <c r="H368">
        <f>IF(B368="female", 0, 1)</f>
        <v>0</v>
      </c>
      <c r="I368">
        <f>IF(C368= "yes", 1, 0)</f>
        <v>0</v>
      </c>
      <c r="J368">
        <v>56</v>
      </c>
      <c r="K368">
        <v>32.299999999999997</v>
      </c>
      <c r="L368">
        <v>3</v>
      </c>
      <c r="M368">
        <v>13430.264999999999</v>
      </c>
    </row>
    <row r="369" spans="1:13" x14ac:dyDescent="0.35">
      <c r="A369" t="s">
        <v>13</v>
      </c>
      <c r="B369" t="s">
        <v>7</v>
      </c>
      <c r="C369" t="s">
        <v>11</v>
      </c>
      <c r="H369">
        <f>IF(B369="female", 0, 1)</f>
        <v>0</v>
      </c>
      <c r="I369">
        <f>IF(C369= "yes", 1, 0)</f>
        <v>0</v>
      </c>
      <c r="J369">
        <v>42</v>
      </c>
      <c r="K369">
        <v>24.984999999999999</v>
      </c>
      <c r="L369">
        <v>2</v>
      </c>
      <c r="M369">
        <v>8017.0611500000005</v>
      </c>
    </row>
    <row r="370" spans="1:13" x14ac:dyDescent="0.35">
      <c r="A370" t="s">
        <v>13</v>
      </c>
      <c r="B370" t="s">
        <v>10</v>
      </c>
      <c r="C370" t="s">
        <v>11</v>
      </c>
      <c r="H370">
        <f>IF(B370="female", 0, 1)</f>
        <v>1</v>
      </c>
      <c r="I370">
        <f>IF(C370= "yes", 1, 0)</f>
        <v>0</v>
      </c>
      <c r="J370">
        <v>44</v>
      </c>
      <c r="K370">
        <v>32.015000000000001</v>
      </c>
      <c r="L370">
        <v>2</v>
      </c>
      <c r="M370">
        <v>8116.2688500000004</v>
      </c>
    </row>
    <row r="371" spans="1:13" x14ac:dyDescent="0.35">
      <c r="A371" t="s">
        <v>14</v>
      </c>
      <c r="B371" t="s">
        <v>10</v>
      </c>
      <c r="C371" t="s">
        <v>11</v>
      </c>
      <c r="H371">
        <f>IF(B371="female", 0, 1)</f>
        <v>1</v>
      </c>
      <c r="I371">
        <f>IF(C371= "yes", 1, 0)</f>
        <v>0</v>
      </c>
      <c r="J371">
        <v>18</v>
      </c>
      <c r="K371">
        <v>30.4</v>
      </c>
      <c r="L371">
        <v>3</v>
      </c>
      <c r="M371">
        <v>3481.8679999999999</v>
      </c>
    </row>
    <row r="372" spans="1:13" x14ac:dyDescent="0.35">
      <c r="A372" t="s">
        <v>13</v>
      </c>
      <c r="B372" t="s">
        <v>7</v>
      </c>
      <c r="C372" t="s">
        <v>11</v>
      </c>
      <c r="H372">
        <f>IF(B372="female", 0, 1)</f>
        <v>0</v>
      </c>
      <c r="I372">
        <f>IF(C372= "yes", 1, 0)</f>
        <v>0</v>
      </c>
      <c r="J372">
        <v>61</v>
      </c>
      <c r="K372">
        <v>21.09</v>
      </c>
      <c r="L372">
        <v>0</v>
      </c>
      <c r="M372">
        <v>13415.0381</v>
      </c>
    </row>
    <row r="373" spans="1:13" x14ac:dyDescent="0.35">
      <c r="A373" t="s">
        <v>14</v>
      </c>
      <c r="B373" t="s">
        <v>7</v>
      </c>
      <c r="C373" t="s">
        <v>11</v>
      </c>
      <c r="H373">
        <f>IF(B373="female", 0, 1)</f>
        <v>0</v>
      </c>
      <c r="I373">
        <f>IF(C373= "yes", 1, 0)</f>
        <v>0</v>
      </c>
      <c r="J373">
        <v>57</v>
      </c>
      <c r="K373">
        <v>22.23</v>
      </c>
      <c r="L373">
        <v>0</v>
      </c>
      <c r="M373">
        <v>12029.286700000001</v>
      </c>
    </row>
    <row r="374" spans="1:13" x14ac:dyDescent="0.35">
      <c r="A374" t="s">
        <v>14</v>
      </c>
      <c r="B374" t="s">
        <v>7</v>
      </c>
      <c r="C374" t="s">
        <v>11</v>
      </c>
      <c r="H374">
        <f>IF(B374="female", 0, 1)</f>
        <v>0</v>
      </c>
      <c r="I374">
        <f>IF(C374= "yes", 1, 0)</f>
        <v>0</v>
      </c>
      <c r="J374">
        <v>42</v>
      </c>
      <c r="K374">
        <v>33.155000000000001</v>
      </c>
      <c r="L374">
        <v>1</v>
      </c>
      <c r="M374">
        <v>7639.4174499999999</v>
      </c>
    </row>
    <row r="375" spans="1:13" x14ac:dyDescent="0.35">
      <c r="A375" t="s">
        <v>9</v>
      </c>
      <c r="B375" t="s">
        <v>10</v>
      </c>
      <c r="C375" t="s">
        <v>8</v>
      </c>
      <c r="H375">
        <f>IF(B375="female", 0, 1)</f>
        <v>1</v>
      </c>
      <c r="I375">
        <f>IF(C375= "yes", 1, 0)</f>
        <v>1</v>
      </c>
      <c r="J375">
        <v>26</v>
      </c>
      <c r="K375">
        <v>32.9</v>
      </c>
      <c r="L375">
        <v>2</v>
      </c>
      <c r="M375">
        <v>36085.218999999997</v>
      </c>
    </row>
    <row r="376" spans="1:13" x14ac:dyDescent="0.35">
      <c r="A376" t="s">
        <v>12</v>
      </c>
      <c r="B376" t="s">
        <v>10</v>
      </c>
      <c r="C376" t="s">
        <v>11</v>
      </c>
      <c r="H376">
        <f>IF(B376="female", 0, 1)</f>
        <v>1</v>
      </c>
      <c r="I376">
        <f>IF(C376= "yes", 1, 0)</f>
        <v>0</v>
      </c>
      <c r="J376">
        <v>20</v>
      </c>
      <c r="K376">
        <v>33.33</v>
      </c>
      <c r="L376">
        <v>0</v>
      </c>
      <c r="M376">
        <v>1391.5287000000001</v>
      </c>
    </row>
    <row r="377" spans="1:13" x14ac:dyDescent="0.35">
      <c r="A377" t="s">
        <v>13</v>
      </c>
      <c r="B377" t="s">
        <v>7</v>
      </c>
      <c r="C377" t="s">
        <v>8</v>
      </c>
      <c r="H377">
        <f>IF(B377="female", 0, 1)</f>
        <v>0</v>
      </c>
      <c r="I377">
        <f>IF(C377= "yes", 1, 0)</f>
        <v>1</v>
      </c>
      <c r="J377">
        <v>23</v>
      </c>
      <c r="K377">
        <v>28.31</v>
      </c>
      <c r="L377">
        <v>0</v>
      </c>
      <c r="M377">
        <v>18033.9679</v>
      </c>
    </row>
    <row r="378" spans="1:13" x14ac:dyDescent="0.35">
      <c r="A378" t="s">
        <v>14</v>
      </c>
      <c r="B378" t="s">
        <v>7</v>
      </c>
      <c r="C378" t="s">
        <v>8</v>
      </c>
      <c r="H378">
        <f>IF(B378="female", 0, 1)</f>
        <v>0</v>
      </c>
      <c r="I378">
        <f>IF(C378= "yes", 1, 0)</f>
        <v>1</v>
      </c>
      <c r="J378">
        <v>39</v>
      </c>
      <c r="K378">
        <v>24.89</v>
      </c>
      <c r="L378">
        <v>3</v>
      </c>
      <c r="M378">
        <v>21659.930100000001</v>
      </c>
    </row>
    <row r="379" spans="1:13" x14ac:dyDescent="0.35">
      <c r="A379" t="s">
        <v>12</v>
      </c>
      <c r="B379" t="s">
        <v>10</v>
      </c>
      <c r="C379" t="s">
        <v>8</v>
      </c>
      <c r="H379">
        <f>IF(B379="female", 0, 1)</f>
        <v>1</v>
      </c>
      <c r="I379">
        <f>IF(C379= "yes", 1, 0)</f>
        <v>1</v>
      </c>
      <c r="J379">
        <v>24</v>
      </c>
      <c r="K379">
        <v>40.15</v>
      </c>
      <c r="L379">
        <v>0</v>
      </c>
      <c r="M379">
        <v>38126.246500000001</v>
      </c>
    </row>
    <row r="380" spans="1:13" x14ac:dyDescent="0.35">
      <c r="A380" t="s">
        <v>13</v>
      </c>
      <c r="B380" t="s">
        <v>7</v>
      </c>
      <c r="C380" t="s">
        <v>11</v>
      </c>
      <c r="H380">
        <f>IF(B380="female", 0, 1)</f>
        <v>0</v>
      </c>
      <c r="I380">
        <f>IF(C380= "yes", 1, 0)</f>
        <v>0</v>
      </c>
      <c r="J380">
        <v>64</v>
      </c>
      <c r="K380">
        <v>30.114999999999998</v>
      </c>
      <c r="L380">
        <v>3</v>
      </c>
      <c r="M380">
        <v>16455.707849999999</v>
      </c>
    </row>
    <row r="381" spans="1:13" x14ac:dyDescent="0.35">
      <c r="A381" t="s">
        <v>12</v>
      </c>
      <c r="B381" t="s">
        <v>10</v>
      </c>
      <c r="C381" t="s">
        <v>11</v>
      </c>
      <c r="H381">
        <f>IF(B381="female", 0, 1)</f>
        <v>1</v>
      </c>
      <c r="I381">
        <f>IF(C381= "yes", 1, 0)</f>
        <v>0</v>
      </c>
      <c r="J381">
        <v>62</v>
      </c>
      <c r="K381">
        <v>31.46</v>
      </c>
      <c r="L381">
        <v>1</v>
      </c>
      <c r="M381">
        <v>27000.98473</v>
      </c>
    </row>
    <row r="382" spans="1:13" x14ac:dyDescent="0.35">
      <c r="A382" t="s">
        <v>14</v>
      </c>
      <c r="B382" t="s">
        <v>7</v>
      </c>
      <c r="C382" t="s">
        <v>8</v>
      </c>
      <c r="H382">
        <f>IF(B382="female", 0, 1)</f>
        <v>0</v>
      </c>
      <c r="I382">
        <f>IF(C382= "yes", 1, 0)</f>
        <v>1</v>
      </c>
      <c r="J382">
        <v>27</v>
      </c>
      <c r="K382">
        <v>17.954999999999998</v>
      </c>
      <c r="L382">
        <v>2</v>
      </c>
      <c r="M382">
        <v>15006.579449999999</v>
      </c>
    </row>
    <row r="383" spans="1:13" x14ac:dyDescent="0.35">
      <c r="A383" t="s">
        <v>14</v>
      </c>
      <c r="B383" t="s">
        <v>10</v>
      </c>
      <c r="C383" t="s">
        <v>8</v>
      </c>
      <c r="H383">
        <f>IF(B383="female", 0, 1)</f>
        <v>1</v>
      </c>
      <c r="I383">
        <f>IF(C383= "yes", 1, 0)</f>
        <v>1</v>
      </c>
      <c r="J383">
        <v>55</v>
      </c>
      <c r="K383">
        <v>30.684999999999999</v>
      </c>
      <c r="L383">
        <v>0</v>
      </c>
      <c r="M383">
        <v>42303.692150000003</v>
      </c>
    </row>
    <row r="384" spans="1:13" x14ac:dyDescent="0.35">
      <c r="A384" t="s">
        <v>12</v>
      </c>
      <c r="B384" t="s">
        <v>10</v>
      </c>
      <c r="C384" t="s">
        <v>11</v>
      </c>
      <c r="H384">
        <f>IF(B384="female", 0, 1)</f>
        <v>1</v>
      </c>
      <c r="I384">
        <f>IF(C384= "yes", 1, 0)</f>
        <v>0</v>
      </c>
      <c r="J384">
        <v>55</v>
      </c>
      <c r="K384">
        <v>33</v>
      </c>
      <c r="L384">
        <v>0</v>
      </c>
      <c r="M384">
        <v>20781.48892</v>
      </c>
    </row>
    <row r="385" spans="1:13" x14ac:dyDescent="0.35">
      <c r="A385" t="s">
        <v>12</v>
      </c>
      <c r="B385" t="s">
        <v>7</v>
      </c>
      <c r="C385" t="s">
        <v>11</v>
      </c>
      <c r="H385">
        <f>IF(B385="female", 0, 1)</f>
        <v>0</v>
      </c>
      <c r="I385">
        <f>IF(C385= "yes", 1, 0)</f>
        <v>0</v>
      </c>
      <c r="J385">
        <v>35</v>
      </c>
      <c r="K385">
        <v>43.34</v>
      </c>
      <c r="L385">
        <v>2</v>
      </c>
      <c r="M385">
        <v>5846.9175999999998</v>
      </c>
    </row>
    <row r="386" spans="1:13" x14ac:dyDescent="0.35">
      <c r="A386" t="s">
        <v>14</v>
      </c>
      <c r="B386" t="s">
        <v>10</v>
      </c>
      <c r="C386" t="s">
        <v>11</v>
      </c>
      <c r="H386">
        <f>IF(B386="female", 0, 1)</f>
        <v>1</v>
      </c>
      <c r="I386">
        <f>IF(C386= "yes", 1, 0)</f>
        <v>0</v>
      </c>
      <c r="J386">
        <v>44</v>
      </c>
      <c r="K386">
        <v>22.135000000000002</v>
      </c>
      <c r="L386">
        <v>2</v>
      </c>
      <c r="M386">
        <v>8302.5356499999998</v>
      </c>
    </row>
    <row r="387" spans="1:13" x14ac:dyDescent="0.35">
      <c r="A387" t="s">
        <v>9</v>
      </c>
      <c r="B387" t="s">
        <v>10</v>
      </c>
      <c r="C387" t="s">
        <v>11</v>
      </c>
      <c r="H387">
        <f>IF(B387="female", 0, 1)</f>
        <v>1</v>
      </c>
      <c r="I387">
        <f>IF(C387= "yes", 1, 0)</f>
        <v>0</v>
      </c>
      <c r="J387">
        <v>19</v>
      </c>
      <c r="K387">
        <v>34.4</v>
      </c>
      <c r="L387">
        <v>0</v>
      </c>
      <c r="M387">
        <v>1261.8589999999999</v>
      </c>
    </row>
    <row r="388" spans="1:13" x14ac:dyDescent="0.35">
      <c r="A388" t="s">
        <v>12</v>
      </c>
      <c r="B388" t="s">
        <v>7</v>
      </c>
      <c r="C388" t="s">
        <v>11</v>
      </c>
      <c r="H388">
        <f>IF(B388="female", 0, 1)</f>
        <v>0</v>
      </c>
      <c r="I388">
        <f>IF(C388= "yes", 1, 0)</f>
        <v>0</v>
      </c>
      <c r="J388">
        <v>58</v>
      </c>
      <c r="K388">
        <v>39.049999999999997</v>
      </c>
      <c r="L388">
        <v>0</v>
      </c>
      <c r="M388">
        <v>11856.4115</v>
      </c>
    </row>
    <row r="389" spans="1:13" x14ac:dyDescent="0.35">
      <c r="A389" t="s">
        <v>13</v>
      </c>
      <c r="B389" t="s">
        <v>10</v>
      </c>
      <c r="C389" t="s">
        <v>11</v>
      </c>
      <c r="H389">
        <f>IF(B389="female", 0, 1)</f>
        <v>1</v>
      </c>
      <c r="I389">
        <f>IF(C389= "yes", 1, 0)</f>
        <v>0</v>
      </c>
      <c r="J389">
        <v>50</v>
      </c>
      <c r="K389">
        <v>25.364999999999998</v>
      </c>
      <c r="L389">
        <v>2</v>
      </c>
      <c r="M389">
        <v>30284.642940000002</v>
      </c>
    </row>
    <row r="390" spans="1:13" x14ac:dyDescent="0.35">
      <c r="A390" t="s">
        <v>13</v>
      </c>
      <c r="B390" t="s">
        <v>7</v>
      </c>
      <c r="C390" t="s">
        <v>11</v>
      </c>
      <c r="H390">
        <f>IF(B390="female", 0, 1)</f>
        <v>0</v>
      </c>
      <c r="I390">
        <f>IF(C390= "yes", 1, 0)</f>
        <v>0</v>
      </c>
      <c r="J390">
        <v>26</v>
      </c>
      <c r="K390">
        <v>22.61</v>
      </c>
      <c r="L390">
        <v>0</v>
      </c>
      <c r="M390">
        <v>3176.8159000000001</v>
      </c>
    </row>
    <row r="391" spans="1:13" x14ac:dyDescent="0.35">
      <c r="A391" t="s">
        <v>13</v>
      </c>
      <c r="B391" t="s">
        <v>7</v>
      </c>
      <c r="C391" t="s">
        <v>11</v>
      </c>
      <c r="H391">
        <f>IF(B391="female", 0, 1)</f>
        <v>0</v>
      </c>
      <c r="I391">
        <f>IF(C391= "yes", 1, 0)</f>
        <v>0</v>
      </c>
      <c r="J391">
        <v>24</v>
      </c>
      <c r="K391">
        <v>30.21</v>
      </c>
      <c r="L391">
        <v>3</v>
      </c>
      <c r="M391">
        <v>4618.0798999999997</v>
      </c>
    </row>
    <row r="392" spans="1:13" x14ac:dyDescent="0.35">
      <c r="A392" t="s">
        <v>14</v>
      </c>
      <c r="B392" t="s">
        <v>10</v>
      </c>
      <c r="C392" t="s">
        <v>11</v>
      </c>
      <c r="H392">
        <f>IF(B392="female", 0, 1)</f>
        <v>1</v>
      </c>
      <c r="I392">
        <f>IF(C392= "yes", 1, 0)</f>
        <v>0</v>
      </c>
      <c r="J392">
        <v>48</v>
      </c>
      <c r="K392">
        <v>35.625</v>
      </c>
      <c r="L392">
        <v>4</v>
      </c>
      <c r="M392">
        <v>10736.87075</v>
      </c>
    </row>
    <row r="393" spans="1:13" x14ac:dyDescent="0.35">
      <c r="A393" t="s">
        <v>13</v>
      </c>
      <c r="B393" t="s">
        <v>7</v>
      </c>
      <c r="C393" t="s">
        <v>11</v>
      </c>
      <c r="H393">
        <f>IF(B393="female", 0, 1)</f>
        <v>0</v>
      </c>
      <c r="I393">
        <f>IF(C393= "yes", 1, 0)</f>
        <v>0</v>
      </c>
      <c r="J393">
        <v>19</v>
      </c>
      <c r="K393">
        <v>37.43</v>
      </c>
      <c r="L393">
        <v>0</v>
      </c>
      <c r="M393">
        <v>2138.0707000000002</v>
      </c>
    </row>
    <row r="394" spans="1:13" x14ac:dyDescent="0.35">
      <c r="A394" t="s">
        <v>14</v>
      </c>
      <c r="B394" t="s">
        <v>10</v>
      </c>
      <c r="C394" t="s">
        <v>11</v>
      </c>
      <c r="H394">
        <f>IF(B394="female", 0, 1)</f>
        <v>1</v>
      </c>
      <c r="I394">
        <f>IF(C394= "yes", 1, 0)</f>
        <v>0</v>
      </c>
      <c r="J394">
        <v>48</v>
      </c>
      <c r="K394">
        <v>31.445</v>
      </c>
      <c r="L394">
        <v>1</v>
      </c>
      <c r="M394">
        <v>8964.0605500000001</v>
      </c>
    </row>
    <row r="395" spans="1:13" x14ac:dyDescent="0.35">
      <c r="A395" t="s">
        <v>14</v>
      </c>
      <c r="B395" t="s">
        <v>10</v>
      </c>
      <c r="C395" t="s">
        <v>11</v>
      </c>
      <c r="H395">
        <f>IF(B395="female", 0, 1)</f>
        <v>1</v>
      </c>
      <c r="I395">
        <f>IF(C395= "yes", 1, 0)</f>
        <v>0</v>
      </c>
      <c r="J395">
        <v>49</v>
      </c>
      <c r="K395">
        <v>31.35</v>
      </c>
      <c r="L395">
        <v>1</v>
      </c>
      <c r="M395">
        <v>9290.1394999999993</v>
      </c>
    </row>
    <row r="396" spans="1:13" x14ac:dyDescent="0.35">
      <c r="A396" t="s">
        <v>14</v>
      </c>
      <c r="B396" t="s">
        <v>7</v>
      </c>
      <c r="C396" t="s">
        <v>11</v>
      </c>
      <c r="H396">
        <f>IF(B396="female", 0, 1)</f>
        <v>0</v>
      </c>
      <c r="I396">
        <f>IF(C396= "yes", 1, 0)</f>
        <v>0</v>
      </c>
      <c r="J396">
        <v>46</v>
      </c>
      <c r="K396">
        <v>32.299999999999997</v>
      </c>
      <c r="L396">
        <v>2</v>
      </c>
      <c r="M396">
        <v>9411.0049999999992</v>
      </c>
    </row>
    <row r="397" spans="1:13" x14ac:dyDescent="0.35">
      <c r="A397" t="s">
        <v>13</v>
      </c>
      <c r="B397" t="s">
        <v>10</v>
      </c>
      <c r="C397" t="s">
        <v>11</v>
      </c>
      <c r="H397">
        <f>IF(B397="female", 0, 1)</f>
        <v>1</v>
      </c>
      <c r="I397">
        <f>IF(C397= "yes", 1, 0)</f>
        <v>0</v>
      </c>
      <c r="J397">
        <v>46</v>
      </c>
      <c r="K397">
        <v>19.855</v>
      </c>
      <c r="L397">
        <v>0</v>
      </c>
      <c r="M397">
        <v>7526.7064499999997</v>
      </c>
    </row>
    <row r="398" spans="1:13" x14ac:dyDescent="0.35">
      <c r="A398" t="s">
        <v>9</v>
      </c>
      <c r="B398" t="s">
        <v>7</v>
      </c>
      <c r="C398" t="s">
        <v>11</v>
      </c>
      <c r="H398">
        <f>IF(B398="female", 0, 1)</f>
        <v>0</v>
      </c>
      <c r="I398">
        <f>IF(C398= "yes", 1, 0)</f>
        <v>0</v>
      </c>
      <c r="J398">
        <v>43</v>
      </c>
      <c r="K398">
        <v>34.4</v>
      </c>
      <c r="L398">
        <v>3</v>
      </c>
      <c r="M398">
        <v>8522.0030000000006</v>
      </c>
    </row>
    <row r="399" spans="1:13" x14ac:dyDescent="0.35">
      <c r="A399" t="s">
        <v>12</v>
      </c>
      <c r="B399" t="s">
        <v>10</v>
      </c>
      <c r="C399" t="s">
        <v>11</v>
      </c>
      <c r="H399">
        <f>IF(B399="female", 0, 1)</f>
        <v>1</v>
      </c>
      <c r="I399">
        <f>IF(C399= "yes", 1, 0)</f>
        <v>0</v>
      </c>
      <c r="J399">
        <v>21</v>
      </c>
      <c r="K399">
        <v>31.02</v>
      </c>
      <c r="L399">
        <v>0</v>
      </c>
      <c r="M399">
        <v>16586.49771</v>
      </c>
    </row>
    <row r="400" spans="1:13" x14ac:dyDescent="0.35">
      <c r="A400" t="s">
        <v>9</v>
      </c>
      <c r="B400" t="s">
        <v>10</v>
      </c>
      <c r="C400" t="s">
        <v>11</v>
      </c>
      <c r="H400">
        <f>IF(B400="female", 0, 1)</f>
        <v>1</v>
      </c>
      <c r="I400">
        <f>IF(C400= "yes", 1, 0)</f>
        <v>0</v>
      </c>
      <c r="J400">
        <v>64</v>
      </c>
      <c r="K400">
        <v>25.6</v>
      </c>
      <c r="L400">
        <v>2</v>
      </c>
      <c r="M400">
        <v>14988.432000000001</v>
      </c>
    </row>
    <row r="401" spans="1:13" x14ac:dyDescent="0.35">
      <c r="A401" t="s">
        <v>12</v>
      </c>
      <c r="B401" t="s">
        <v>7</v>
      </c>
      <c r="C401" t="s">
        <v>11</v>
      </c>
      <c r="H401">
        <f>IF(B401="female", 0, 1)</f>
        <v>0</v>
      </c>
      <c r="I401">
        <f>IF(C401= "yes", 1, 0)</f>
        <v>0</v>
      </c>
      <c r="J401">
        <v>18</v>
      </c>
      <c r="K401">
        <v>38.17</v>
      </c>
      <c r="L401">
        <v>0</v>
      </c>
      <c r="M401">
        <v>1631.6683</v>
      </c>
    </row>
    <row r="402" spans="1:13" x14ac:dyDescent="0.35">
      <c r="A402" t="s">
        <v>9</v>
      </c>
      <c r="B402" t="s">
        <v>7</v>
      </c>
      <c r="C402" t="s">
        <v>11</v>
      </c>
      <c r="H402">
        <f>IF(B402="female", 0, 1)</f>
        <v>0</v>
      </c>
      <c r="I402">
        <f>IF(C402= "yes", 1, 0)</f>
        <v>0</v>
      </c>
      <c r="J402">
        <v>51</v>
      </c>
      <c r="K402">
        <v>20.6</v>
      </c>
      <c r="L402">
        <v>0</v>
      </c>
      <c r="M402">
        <v>9264.7970000000005</v>
      </c>
    </row>
    <row r="403" spans="1:13" x14ac:dyDescent="0.35">
      <c r="A403" t="s">
        <v>12</v>
      </c>
      <c r="B403" t="s">
        <v>10</v>
      </c>
      <c r="C403" t="s">
        <v>11</v>
      </c>
      <c r="H403">
        <f>IF(B403="female", 0, 1)</f>
        <v>1</v>
      </c>
      <c r="I403">
        <f>IF(C403= "yes", 1, 0)</f>
        <v>0</v>
      </c>
      <c r="J403">
        <v>47</v>
      </c>
      <c r="K403">
        <v>47.52</v>
      </c>
      <c r="L403">
        <v>1</v>
      </c>
      <c r="M403">
        <v>8083.9197999999997</v>
      </c>
    </row>
    <row r="404" spans="1:13" x14ac:dyDescent="0.35">
      <c r="A404" t="s">
        <v>13</v>
      </c>
      <c r="B404" t="s">
        <v>7</v>
      </c>
      <c r="C404" t="s">
        <v>11</v>
      </c>
      <c r="H404">
        <f>IF(B404="female", 0, 1)</f>
        <v>0</v>
      </c>
      <c r="I404">
        <f>IF(C404= "yes", 1, 0)</f>
        <v>0</v>
      </c>
      <c r="J404">
        <v>64</v>
      </c>
      <c r="K404">
        <v>32.965000000000003</v>
      </c>
      <c r="L404">
        <v>0</v>
      </c>
      <c r="M404">
        <v>14692.66935</v>
      </c>
    </row>
    <row r="405" spans="1:13" x14ac:dyDescent="0.35">
      <c r="A405" t="s">
        <v>13</v>
      </c>
      <c r="B405" t="s">
        <v>10</v>
      </c>
      <c r="C405" t="s">
        <v>11</v>
      </c>
      <c r="H405">
        <f>IF(B405="female", 0, 1)</f>
        <v>1</v>
      </c>
      <c r="I405">
        <f>IF(C405= "yes", 1, 0)</f>
        <v>0</v>
      </c>
      <c r="J405">
        <v>49</v>
      </c>
      <c r="K405">
        <v>32.299999999999997</v>
      </c>
      <c r="L405">
        <v>3</v>
      </c>
      <c r="M405">
        <v>10269.459999999999</v>
      </c>
    </row>
    <row r="406" spans="1:13" x14ac:dyDescent="0.35">
      <c r="A406" t="s">
        <v>9</v>
      </c>
      <c r="B406" t="s">
        <v>10</v>
      </c>
      <c r="C406" t="s">
        <v>11</v>
      </c>
      <c r="H406">
        <f>IF(B406="female", 0, 1)</f>
        <v>1</v>
      </c>
      <c r="I406">
        <f>IF(C406= "yes", 1, 0)</f>
        <v>0</v>
      </c>
      <c r="J406">
        <v>31</v>
      </c>
      <c r="K406">
        <v>20.399999999999999</v>
      </c>
      <c r="L406">
        <v>0</v>
      </c>
      <c r="M406">
        <v>3260.1990000000001</v>
      </c>
    </row>
    <row r="407" spans="1:13" x14ac:dyDescent="0.35">
      <c r="A407" t="s">
        <v>14</v>
      </c>
      <c r="B407" t="s">
        <v>7</v>
      </c>
      <c r="C407" t="s">
        <v>11</v>
      </c>
      <c r="H407">
        <f>IF(B407="female", 0, 1)</f>
        <v>0</v>
      </c>
      <c r="I407">
        <f>IF(C407= "yes", 1, 0)</f>
        <v>0</v>
      </c>
      <c r="J407">
        <v>52</v>
      </c>
      <c r="K407">
        <v>38.380000000000003</v>
      </c>
      <c r="L407">
        <v>2</v>
      </c>
      <c r="M407">
        <v>11396.9002</v>
      </c>
    </row>
    <row r="408" spans="1:13" x14ac:dyDescent="0.35">
      <c r="A408" t="s">
        <v>12</v>
      </c>
      <c r="B408" t="s">
        <v>7</v>
      </c>
      <c r="C408" t="s">
        <v>11</v>
      </c>
      <c r="H408">
        <f>IF(B408="female", 0, 1)</f>
        <v>0</v>
      </c>
      <c r="I408">
        <f>IF(C408= "yes", 1, 0)</f>
        <v>0</v>
      </c>
      <c r="J408">
        <v>33</v>
      </c>
      <c r="K408">
        <v>24.31</v>
      </c>
      <c r="L408">
        <v>0</v>
      </c>
      <c r="M408">
        <v>4185.0978999999998</v>
      </c>
    </row>
    <row r="409" spans="1:13" x14ac:dyDescent="0.35">
      <c r="A409" t="s">
        <v>9</v>
      </c>
      <c r="B409" t="s">
        <v>7</v>
      </c>
      <c r="C409" t="s">
        <v>11</v>
      </c>
      <c r="H409">
        <f>IF(B409="female", 0, 1)</f>
        <v>0</v>
      </c>
      <c r="I409">
        <f>IF(C409= "yes", 1, 0)</f>
        <v>0</v>
      </c>
      <c r="J409">
        <v>47</v>
      </c>
      <c r="K409">
        <v>23.6</v>
      </c>
      <c r="L409">
        <v>1</v>
      </c>
      <c r="M409">
        <v>8539.6710000000003</v>
      </c>
    </row>
    <row r="410" spans="1:13" x14ac:dyDescent="0.35">
      <c r="A410" t="s">
        <v>12</v>
      </c>
      <c r="B410" t="s">
        <v>10</v>
      </c>
      <c r="C410" t="s">
        <v>11</v>
      </c>
      <c r="H410">
        <f>IF(B410="female", 0, 1)</f>
        <v>1</v>
      </c>
      <c r="I410">
        <f>IF(C410= "yes", 1, 0)</f>
        <v>0</v>
      </c>
      <c r="J410">
        <v>38</v>
      </c>
      <c r="K410">
        <v>21.12</v>
      </c>
      <c r="L410">
        <v>3</v>
      </c>
      <c r="M410">
        <v>6652.5288</v>
      </c>
    </row>
    <row r="411" spans="1:13" x14ac:dyDescent="0.35">
      <c r="A411" t="s">
        <v>12</v>
      </c>
      <c r="B411" t="s">
        <v>10</v>
      </c>
      <c r="C411" t="s">
        <v>11</v>
      </c>
      <c r="H411">
        <f>IF(B411="female", 0, 1)</f>
        <v>1</v>
      </c>
      <c r="I411">
        <f>IF(C411= "yes", 1, 0)</f>
        <v>0</v>
      </c>
      <c r="J411">
        <v>32</v>
      </c>
      <c r="K411">
        <v>30.03</v>
      </c>
      <c r="L411">
        <v>1</v>
      </c>
      <c r="M411">
        <v>4074.4537</v>
      </c>
    </row>
    <row r="412" spans="1:13" x14ac:dyDescent="0.35">
      <c r="A412" t="s">
        <v>13</v>
      </c>
      <c r="B412" t="s">
        <v>10</v>
      </c>
      <c r="C412" t="s">
        <v>11</v>
      </c>
      <c r="H412">
        <f>IF(B412="female", 0, 1)</f>
        <v>1</v>
      </c>
      <c r="I412">
        <f>IF(C412= "yes", 1, 0)</f>
        <v>0</v>
      </c>
      <c r="J412">
        <v>19</v>
      </c>
      <c r="K412">
        <v>17.48</v>
      </c>
      <c r="L412">
        <v>0</v>
      </c>
      <c r="M412">
        <v>1621.3402000000001</v>
      </c>
    </row>
    <row r="413" spans="1:13" x14ac:dyDescent="0.35">
      <c r="A413" t="s">
        <v>14</v>
      </c>
      <c r="B413" t="s">
        <v>7</v>
      </c>
      <c r="C413" t="s">
        <v>8</v>
      </c>
      <c r="H413">
        <f>IF(B413="female", 0, 1)</f>
        <v>0</v>
      </c>
      <c r="I413">
        <f>IF(C413= "yes", 1, 0)</f>
        <v>1</v>
      </c>
      <c r="J413">
        <v>44</v>
      </c>
      <c r="K413">
        <v>20.234999999999999</v>
      </c>
      <c r="L413">
        <v>1</v>
      </c>
      <c r="M413">
        <v>19594.809649999999</v>
      </c>
    </row>
    <row r="414" spans="1:13" x14ac:dyDescent="0.35">
      <c r="A414" t="s">
        <v>14</v>
      </c>
      <c r="B414" t="s">
        <v>7</v>
      </c>
      <c r="C414" t="s">
        <v>8</v>
      </c>
      <c r="H414">
        <f>IF(B414="female", 0, 1)</f>
        <v>0</v>
      </c>
      <c r="I414">
        <f>IF(C414= "yes", 1, 0)</f>
        <v>1</v>
      </c>
      <c r="J414">
        <v>26</v>
      </c>
      <c r="K414">
        <v>17.195</v>
      </c>
      <c r="L414">
        <v>2</v>
      </c>
      <c r="M414">
        <v>14455.644050000001</v>
      </c>
    </row>
    <row r="415" spans="1:13" x14ac:dyDescent="0.35">
      <c r="A415" t="s">
        <v>9</v>
      </c>
      <c r="B415" t="s">
        <v>10</v>
      </c>
      <c r="C415" t="s">
        <v>11</v>
      </c>
      <c r="H415">
        <f>IF(B415="female", 0, 1)</f>
        <v>1</v>
      </c>
      <c r="I415">
        <f>IF(C415= "yes", 1, 0)</f>
        <v>0</v>
      </c>
      <c r="J415">
        <v>25</v>
      </c>
      <c r="K415">
        <v>23.9</v>
      </c>
      <c r="L415">
        <v>5</v>
      </c>
      <c r="M415">
        <v>5080.0959999999995</v>
      </c>
    </row>
    <row r="416" spans="1:13" x14ac:dyDescent="0.35">
      <c r="A416" t="s">
        <v>13</v>
      </c>
      <c r="B416" t="s">
        <v>7</v>
      </c>
      <c r="C416" t="s">
        <v>11</v>
      </c>
      <c r="H416">
        <f>IF(B416="female", 0, 1)</f>
        <v>0</v>
      </c>
      <c r="I416">
        <f>IF(C416= "yes", 1, 0)</f>
        <v>0</v>
      </c>
      <c r="J416">
        <v>19</v>
      </c>
      <c r="K416">
        <v>35.15</v>
      </c>
      <c r="L416">
        <v>0</v>
      </c>
      <c r="M416">
        <v>2134.9014999999999</v>
      </c>
    </row>
    <row r="417" spans="1:13" x14ac:dyDescent="0.35">
      <c r="A417" t="s">
        <v>12</v>
      </c>
      <c r="B417" t="s">
        <v>7</v>
      </c>
      <c r="C417" t="s">
        <v>11</v>
      </c>
      <c r="H417">
        <f>IF(B417="female", 0, 1)</f>
        <v>0</v>
      </c>
      <c r="I417">
        <f>IF(C417= "yes", 1, 0)</f>
        <v>0</v>
      </c>
      <c r="J417">
        <v>43</v>
      </c>
      <c r="K417">
        <v>35.64</v>
      </c>
      <c r="L417">
        <v>1</v>
      </c>
      <c r="M417">
        <v>7345.7266</v>
      </c>
    </row>
    <row r="418" spans="1:13" x14ac:dyDescent="0.35">
      <c r="A418" t="s">
        <v>12</v>
      </c>
      <c r="B418" t="s">
        <v>10</v>
      </c>
      <c r="C418" t="s">
        <v>11</v>
      </c>
      <c r="H418">
        <f>IF(B418="female", 0, 1)</f>
        <v>1</v>
      </c>
      <c r="I418">
        <f>IF(C418= "yes", 1, 0)</f>
        <v>0</v>
      </c>
      <c r="J418">
        <v>52</v>
      </c>
      <c r="K418">
        <v>34.1</v>
      </c>
      <c r="L418">
        <v>0</v>
      </c>
      <c r="M418">
        <v>9140.9509999999991</v>
      </c>
    </row>
    <row r="419" spans="1:13" x14ac:dyDescent="0.35">
      <c r="A419" t="s">
        <v>9</v>
      </c>
      <c r="B419" t="s">
        <v>7</v>
      </c>
      <c r="C419" t="s">
        <v>8</v>
      </c>
      <c r="H419">
        <f>IF(B419="female", 0, 1)</f>
        <v>0</v>
      </c>
      <c r="I419">
        <f>IF(C419= "yes", 1, 0)</f>
        <v>1</v>
      </c>
      <c r="J419">
        <v>36</v>
      </c>
      <c r="K419">
        <v>22.6</v>
      </c>
      <c r="L419">
        <v>2</v>
      </c>
      <c r="M419">
        <v>18608.261999999999</v>
      </c>
    </row>
    <row r="420" spans="1:13" x14ac:dyDescent="0.35">
      <c r="A420" t="s">
        <v>12</v>
      </c>
      <c r="B420" t="s">
        <v>10</v>
      </c>
      <c r="C420" t="s">
        <v>11</v>
      </c>
      <c r="H420">
        <f>IF(B420="female", 0, 1)</f>
        <v>1</v>
      </c>
      <c r="I420">
        <f>IF(C420= "yes", 1, 0)</f>
        <v>0</v>
      </c>
      <c r="J420">
        <v>64</v>
      </c>
      <c r="K420">
        <v>39.159999999999997</v>
      </c>
      <c r="L420">
        <v>1</v>
      </c>
      <c r="M420">
        <v>14418.2804</v>
      </c>
    </row>
    <row r="421" spans="1:13" x14ac:dyDescent="0.35">
      <c r="A421" t="s">
        <v>13</v>
      </c>
      <c r="B421" t="s">
        <v>7</v>
      </c>
      <c r="C421" t="s">
        <v>8</v>
      </c>
      <c r="H421">
        <f>IF(B421="female", 0, 1)</f>
        <v>0</v>
      </c>
      <c r="I421">
        <f>IF(C421= "yes", 1, 0)</f>
        <v>1</v>
      </c>
      <c r="J421">
        <v>63</v>
      </c>
      <c r="K421">
        <v>26.98</v>
      </c>
      <c r="L421">
        <v>0</v>
      </c>
      <c r="M421">
        <v>28950.4692</v>
      </c>
    </row>
    <row r="422" spans="1:13" x14ac:dyDescent="0.35">
      <c r="A422" t="s">
        <v>12</v>
      </c>
      <c r="B422" t="s">
        <v>10</v>
      </c>
      <c r="C422" t="s">
        <v>8</v>
      </c>
      <c r="H422">
        <f>IF(B422="female", 0, 1)</f>
        <v>1</v>
      </c>
      <c r="I422">
        <f>IF(C422= "yes", 1, 0)</f>
        <v>1</v>
      </c>
      <c r="J422">
        <v>64</v>
      </c>
      <c r="K422">
        <v>33.880000000000003</v>
      </c>
      <c r="L422">
        <v>0</v>
      </c>
      <c r="M422">
        <v>46889.261200000001</v>
      </c>
    </row>
    <row r="423" spans="1:13" x14ac:dyDescent="0.35">
      <c r="A423" t="s">
        <v>12</v>
      </c>
      <c r="B423" t="s">
        <v>10</v>
      </c>
      <c r="C423" t="s">
        <v>8</v>
      </c>
      <c r="H423">
        <f>IF(B423="female", 0, 1)</f>
        <v>1</v>
      </c>
      <c r="I423">
        <f>IF(C423= "yes", 1, 0)</f>
        <v>1</v>
      </c>
      <c r="J423">
        <v>61</v>
      </c>
      <c r="K423">
        <v>35.86</v>
      </c>
      <c r="L423">
        <v>0</v>
      </c>
      <c r="M423">
        <v>46599.108399999997</v>
      </c>
    </row>
    <row r="424" spans="1:13" x14ac:dyDescent="0.35">
      <c r="A424" t="s">
        <v>14</v>
      </c>
      <c r="B424" t="s">
        <v>10</v>
      </c>
      <c r="C424" t="s">
        <v>8</v>
      </c>
      <c r="H424">
        <f>IF(B424="female", 0, 1)</f>
        <v>1</v>
      </c>
      <c r="I424">
        <f>IF(C424= "yes", 1, 0)</f>
        <v>1</v>
      </c>
      <c r="J424">
        <v>40</v>
      </c>
      <c r="K424">
        <v>32.774999999999999</v>
      </c>
      <c r="L424">
        <v>1</v>
      </c>
      <c r="M424">
        <v>39125.332249999999</v>
      </c>
    </row>
    <row r="425" spans="1:13" x14ac:dyDescent="0.35">
      <c r="A425" t="s">
        <v>14</v>
      </c>
      <c r="B425" t="s">
        <v>10</v>
      </c>
      <c r="C425" t="s">
        <v>11</v>
      </c>
      <c r="H425">
        <f>IF(B425="female", 0, 1)</f>
        <v>1</v>
      </c>
      <c r="I425">
        <f>IF(C425= "yes", 1, 0)</f>
        <v>0</v>
      </c>
      <c r="J425">
        <v>25</v>
      </c>
      <c r="K425">
        <v>30.59</v>
      </c>
      <c r="L425">
        <v>0</v>
      </c>
      <c r="M425">
        <v>2727.3951000000002</v>
      </c>
    </row>
    <row r="426" spans="1:13" x14ac:dyDescent="0.35">
      <c r="A426" t="s">
        <v>9</v>
      </c>
      <c r="B426" t="s">
        <v>10</v>
      </c>
      <c r="C426" t="s">
        <v>11</v>
      </c>
      <c r="H426">
        <f>IF(B426="female", 0, 1)</f>
        <v>1</v>
      </c>
      <c r="I426">
        <f>IF(C426= "yes", 1, 0)</f>
        <v>0</v>
      </c>
      <c r="J426">
        <v>48</v>
      </c>
      <c r="K426">
        <v>30.2</v>
      </c>
      <c r="L426">
        <v>2</v>
      </c>
      <c r="M426">
        <v>8968.33</v>
      </c>
    </row>
    <row r="427" spans="1:13" x14ac:dyDescent="0.35">
      <c r="A427" t="s">
        <v>12</v>
      </c>
      <c r="B427" t="s">
        <v>10</v>
      </c>
      <c r="C427" t="s">
        <v>11</v>
      </c>
      <c r="H427">
        <f>IF(B427="female", 0, 1)</f>
        <v>1</v>
      </c>
      <c r="I427">
        <f>IF(C427= "yes", 1, 0)</f>
        <v>0</v>
      </c>
      <c r="J427">
        <v>45</v>
      </c>
      <c r="K427">
        <v>24.31</v>
      </c>
      <c r="L427">
        <v>5</v>
      </c>
      <c r="M427">
        <v>9788.8659000000007</v>
      </c>
    </row>
    <row r="428" spans="1:13" x14ac:dyDescent="0.35">
      <c r="A428" t="s">
        <v>14</v>
      </c>
      <c r="B428" t="s">
        <v>7</v>
      </c>
      <c r="C428" t="s">
        <v>11</v>
      </c>
      <c r="H428">
        <f>IF(B428="female", 0, 1)</f>
        <v>0</v>
      </c>
      <c r="I428">
        <f>IF(C428= "yes", 1, 0)</f>
        <v>0</v>
      </c>
      <c r="J428">
        <v>38</v>
      </c>
      <c r="K428">
        <v>27.265000000000001</v>
      </c>
      <c r="L428">
        <v>1</v>
      </c>
      <c r="M428">
        <v>6555.07035</v>
      </c>
    </row>
    <row r="429" spans="1:13" x14ac:dyDescent="0.35">
      <c r="A429" t="s">
        <v>14</v>
      </c>
      <c r="B429" t="s">
        <v>7</v>
      </c>
      <c r="C429" t="s">
        <v>11</v>
      </c>
      <c r="H429">
        <f>IF(B429="female", 0, 1)</f>
        <v>0</v>
      </c>
      <c r="I429">
        <f>IF(C429= "yes", 1, 0)</f>
        <v>0</v>
      </c>
      <c r="J429">
        <v>18</v>
      </c>
      <c r="K429">
        <v>29.164999999999999</v>
      </c>
      <c r="L429">
        <v>0</v>
      </c>
      <c r="M429">
        <v>7323.7348190000002</v>
      </c>
    </row>
    <row r="430" spans="1:13" x14ac:dyDescent="0.35">
      <c r="A430" t="s">
        <v>14</v>
      </c>
      <c r="B430" t="s">
        <v>7</v>
      </c>
      <c r="C430" t="s">
        <v>11</v>
      </c>
      <c r="H430">
        <f>IF(B430="female", 0, 1)</f>
        <v>0</v>
      </c>
      <c r="I430">
        <f>IF(C430= "yes", 1, 0)</f>
        <v>0</v>
      </c>
      <c r="J430">
        <v>21</v>
      </c>
      <c r="K430">
        <v>16.815000000000001</v>
      </c>
      <c r="L430">
        <v>1</v>
      </c>
      <c r="M430">
        <v>3167.4558499999998</v>
      </c>
    </row>
    <row r="431" spans="1:13" x14ac:dyDescent="0.35">
      <c r="A431" t="s">
        <v>13</v>
      </c>
      <c r="B431" t="s">
        <v>7</v>
      </c>
      <c r="C431" t="s">
        <v>11</v>
      </c>
      <c r="H431">
        <f>IF(B431="female", 0, 1)</f>
        <v>0</v>
      </c>
      <c r="I431">
        <f>IF(C431= "yes", 1, 0)</f>
        <v>0</v>
      </c>
      <c r="J431">
        <v>27</v>
      </c>
      <c r="K431">
        <v>30.4</v>
      </c>
      <c r="L431">
        <v>3</v>
      </c>
      <c r="M431">
        <v>18804.752400000001</v>
      </c>
    </row>
    <row r="432" spans="1:13" x14ac:dyDescent="0.35">
      <c r="A432" t="s">
        <v>9</v>
      </c>
      <c r="B432" t="s">
        <v>10</v>
      </c>
      <c r="C432" t="s">
        <v>11</v>
      </c>
      <c r="H432">
        <f>IF(B432="female", 0, 1)</f>
        <v>1</v>
      </c>
      <c r="I432">
        <f>IF(C432= "yes", 1, 0)</f>
        <v>0</v>
      </c>
      <c r="J432">
        <v>19</v>
      </c>
      <c r="K432">
        <v>33.1</v>
      </c>
      <c r="L432">
        <v>0</v>
      </c>
      <c r="M432">
        <v>23082.955330000001</v>
      </c>
    </row>
    <row r="433" spans="1:13" x14ac:dyDescent="0.35">
      <c r="A433" t="s">
        <v>13</v>
      </c>
      <c r="B433" t="s">
        <v>7</v>
      </c>
      <c r="C433" t="s">
        <v>11</v>
      </c>
      <c r="H433">
        <f>IF(B433="female", 0, 1)</f>
        <v>0</v>
      </c>
      <c r="I433">
        <f>IF(C433= "yes", 1, 0)</f>
        <v>0</v>
      </c>
      <c r="J433">
        <v>29</v>
      </c>
      <c r="K433">
        <v>20.234999999999999</v>
      </c>
      <c r="L433">
        <v>2</v>
      </c>
      <c r="M433">
        <v>4906.4096499999996</v>
      </c>
    </row>
    <row r="434" spans="1:13" x14ac:dyDescent="0.35">
      <c r="A434" t="s">
        <v>9</v>
      </c>
      <c r="B434" t="s">
        <v>10</v>
      </c>
      <c r="C434" t="s">
        <v>11</v>
      </c>
      <c r="H434">
        <f>IF(B434="female", 0, 1)</f>
        <v>1</v>
      </c>
      <c r="I434">
        <f>IF(C434= "yes", 1, 0)</f>
        <v>0</v>
      </c>
      <c r="J434">
        <v>42</v>
      </c>
      <c r="K434">
        <v>26.9</v>
      </c>
      <c r="L434">
        <v>0</v>
      </c>
      <c r="M434">
        <v>5969.723</v>
      </c>
    </row>
    <row r="435" spans="1:13" x14ac:dyDescent="0.35">
      <c r="A435" t="s">
        <v>9</v>
      </c>
      <c r="B435" t="s">
        <v>7</v>
      </c>
      <c r="C435" t="s">
        <v>11</v>
      </c>
      <c r="H435">
        <f>IF(B435="female", 0, 1)</f>
        <v>0</v>
      </c>
      <c r="I435">
        <f>IF(C435= "yes", 1, 0)</f>
        <v>0</v>
      </c>
      <c r="J435">
        <v>60</v>
      </c>
      <c r="K435">
        <v>30.5</v>
      </c>
      <c r="L435">
        <v>0</v>
      </c>
      <c r="M435">
        <v>12638.195</v>
      </c>
    </row>
    <row r="436" spans="1:13" x14ac:dyDescent="0.35">
      <c r="A436" t="s">
        <v>13</v>
      </c>
      <c r="B436" t="s">
        <v>10</v>
      </c>
      <c r="C436" t="s">
        <v>11</v>
      </c>
      <c r="H436">
        <f>IF(B436="female", 0, 1)</f>
        <v>1</v>
      </c>
      <c r="I436">
        <f>IF(C436= "yes", 1, 0)</f>
        <v>0</v>
      </c>
      <c r="J436">
        <v>31</v>
      </c>
      <c r="K436">
        <v>28.594999999999999</v>
      </c>
      <c r="L436">
        <v>1</v>
      </c>
      <c r="M436">
        <v>4243.5900499999998</v>
      </c>
    </row>
    <row r="437" spans="1:13" x14ac:dyDescent="0.35">
      <c r="A437" t="s">
        <v>12</v>
      </c>
      <c r="B437" t="s">
        <v>10</v>
      </c>
      <c r="C437" t="s">
        <v>11</v>
      </c>
      <c r="H437">
        <f>IF(B437="female", 0, 1)</f>
        <v>1</v>
      </c>
      <c r="I437">
        <f>IF(C437= "yes", 1, 0)</f>
        <v>0</v>
      </c>
      <c r="J437">
        <v>60</v>
      </c>
      <c r="K437">
        <v>33.11</v>
      </c>
      <c r="L437">
        <v>3</v>
      </c>
      <c r="M437">
        <v>13919.822899999999</v>
      </c>
    </row>
    <row r="438" spans="1:13" x14ac:dyDescent="0.35">
      <c r="A438" t="s">
        <v>14</v>
      </c>
      <c r="B438" t="s">
        <v>10</v>
      </c>
      <c r="C438" t="s">
        <v>11</v>
      </c>
      <c r="H438">
        <f>IF(B438="female", 0, 1)</f>
        <v>1</v>
      </c>
      <c r="I438">
        <f>IF(C438= "yes", 1, 0)</f>
        <v>0</v>
      </c>
      <c r="J438">
        <v>22</v>
      </c>
      <c r="K438">
        <v>31.73</v>
      </c>
      <c r="L438">
        <v>0</v>
      </c>
      <c r="M438">
        <v>2254.7966999999999</v>
      </c>
    </row>
    <row r="439" spans="1:13" x14ac:dyDescent="0.35">
      <c r="A439" t="s">
        <v>9</v>
      </c>
      <c r="B439" t="s">
        <v>10</v>
      </c>
      <c r="C439" t="s">
        <v>11</v>
      </c>
      <c r="H439">
        <f>IF(B439="female", 0, 1)</f>
        <v>1</v>
      </c>
      <c r="I439">
        <f>IF(C439= "yes", 1, 0)</f>
        <v>0</v>
      </c>
      <c r="J439">
        <v>35</v>
      </c>
      <c r="K439">
        <v>28.9</v>
      </c>
      <c r="L439">
        <v>3</v>
      </c>
      <c r="M439">
        <v>5926.8459999999995</v>
      </c>
    </row>
    <row r="440" spans="1:13" x14ac:dyDescent="0.35">
      <c r="A440" t="s">
        <v>12</v>
      </c>
      <c r="B440" t="s">
        <v>7</v>
      </c>
      <c r="C440" t="s">
        <v>11</v>
      </c>
      <c r="H440">
        <f>IF(B440="female", 0, 1)</f>
        <v>0</v>
      </c>
      <c r="I440">
        <f>IF(C440= "yes", 1, 0)</f>
        <v>0</v>
      </c>
      <c r="J440">
        <v>52</v>
      </c>
      <c r="K440">
        <v>46.75</v>
      </c>
      <c r="L440">
        <v>5</v>
      </c>
      <c r="M440">
        <v>12592.5345</v>
      </c>
    </row>
    <row r="441" spans="1:13" x14ac:dyDescent="0.35">
      <c r="A441" t="s">
        <v>14</v>
      </c>
      <c r="B441" t="s">
        <v>10</v>
      </c>
      <c r="C441" t="s">
        <v>11</v>
      </c>
      <c r="H441">
        <f>IF(B441="female", 0, 1)</f>
        <v>1</v>
      </c>
      <c r="I441">
        <f>IF(C441= "yes", 1, 0)</f>
        <v>0</v>
      </c>
      <c r="J441">
        <v>26</v>
      </c>
      <c r="K441">
        <v>29.45</v>
      </c>
      <c r="L441">
        <v>0</v>
      </c>
      <c r="M441">
        <v>2897.3235</v>
      </c>
    </row>
    <row r="442" spans="1:13" x14ac:dyDescent="0.35">
      <c r="A442" t="s">
        <v>13</v>
      </c>
      <c r="B442" t="s">
        <v>7</v>
      </c>
      <c r="C442" t="s">
        <v>11</v>
      </c>
      <c r="H442">
        <f>IF(B442="female", 0, 1)</f>
        <v>0</v>
      </c>
      <c r="I442">
        <f>IF(C442= "yes", 1, 0)</f>
        <v>0</v>
      </c>
      <c r="J442">
        <v>31</v>
      </c>
      <c r="K442">
        <v>32.68</v>
      </c>
      <c r="L442">
        <v>1</v>
      </c>
      <c r="M442">
        <v>4738.2682000000004</v>
      </c>
    </row>
    <row r="443" spans="1:13" x14ac:dyDescent="0.35">
      <c r="A443" t="s">
        <v>9</v>
      </c>
      <c r="B443" t="s">
        <v>7</v>
      </c>
      <c r="C443" t="s">
        <v>8</v>
      </c>
      <c r="H443">
        <f>IF(B443="female", 0, 1)</f>
        <v>0</v>
      </c>
      <c r="I443">
        <f>IF(C443= "yes", 1, 0)</f>
        <v>1</v>
      </c>
      <c r="J443">
        <v>33</v>
      </c>
      <c r="K443">
        <v>33.5</v>
      </c>
      <c r="L443">
        <v>0</v>
      </c>
      <c r="M443">
        <v>37079.372000000003</v>
      </c>
    </row>
    <row r="444" spans="1:13" x14ac:dyDescent="0.35">
      <c r="A444" t="s">
        <v>12</v>
      </c>
      <c r="B444" t="s">
        <v>10</v>
      </c>
      <c r="C444" t="s">
        <v>11</v>
      </c>
      <c r="H444">
        <f>IF(B444="female", 0, 1)</f>
        <v>1</v>
      </c>
      <c r="I444">
        <f>IF(C444= "yes", 1, 0)</f>
        <v>0</v>
      </c>
      <c r="J444">
        <v>18</v>
      </c>
      <c r="K444">
        <v>43.01</v>
      </c>
      <c r="L444">
        <v>0</v>
      </c>
      <c r="M444">
        <v>1149.3959</v>
      </c>
    </row>
    <row r="445" spans="1:13" x14ac:dyDescent="0.35">
      <c r="A445" t="s">
        <v>12</v>
      </c>
      <c r="B445" t="s">
        <v>7</v>
      </c>
      <c r="C445" t="s">
        <v>11</v>
      </c>
      <c r="H445">
        <f>IF(B445="female", 0, 1)</f>
        <v>0</v>
      </c>
      <c r="I445">
        <f>IF(C445= "yes", 1, 0)</f>
        <v>0</v>
      </c>
      <c r="J445">
        <v>59</v>
      </c>
      <c r="K445">
        <v>36.520000000000003</v>
      </c>
      <c r="L445">
        <v>1</v>
      </c>
      <c r="M445">
        <v>28287.897659999999</v>
      </c>
    </row>
    <row r="446" spans="1:13" x14ac:dyDescent="0.35">
      <c r="A446" t="s">
        <v>13</v>
      </c>
      <c r="B446" t="s">
        <v>10</v>
      </c>
      <c r="C446" t="s">
        <v>8</v>
      </c>
      <c r="H446">
        <f>IF(B446="female", 0, 1)</f>
        <v>1</v>
      </c>
      <c r="I446">
        <f>IF(C446= "yes", 1, 0)</f>
        <v>1</v>
      </c>
      <c r="J446">
        <v>56</v>
      </c>
      <c r="K446">
        <v>26.695</v>
      </c>
      <c r="L446">
        <v>1</v>
      </c>
      <c r="M446">
        <v>26109.32905</v>
      </c>
    </row>
    <row r="447" spans="1:13" x14ac:dyDescent="0.35">
      <c r="A447" t="s">
        <v>9</v>
      </c>
      <c r="B447" t="s">
        <v>7</v>
      </c>
      <c r="C447" t="s">
        <v>11</v>
      </c>
      <c r="H447">
        <f>IF(B447="female", 0, 1)</f>
        <v>0</v>
      </c>
      <c r="I447">
        <f>IF(C447= "yes", 1, 0)</f>
        <v>0</v>
      </c>
      <c r="J447">
        <v>45</v>
      </c>
      <c r="K447">
        <v>33.1</v>
      </c>
      <c r="L447">
        <v>0</v>
      </c>
      <c r="M447">
        <v>7345.0839999999998</v>
      </c>
    </row>
    <row r="448" spans="1:13" x14ac:dyDescent="0.35">
      <c r="A448" t="s">
        <v>14</v>
      </c>
      <c r="B448" t="s">
        <v>10</v>
      </c>
      <c r="C448" t="s">
        <v>11</v>
      </c>
      <c r="H448">
        <f>IF(B448="female", 0, 1)</f>
        <v>1</v>
      </c>
      <c r="I448">
        <f>IF(C448= "yes", 1, 0)</f>
        <v>0</v>
      </c>
      <c r="J448">
        <v>60</v>
      </c>
      <c r="K448">
        <v>29.64</v>
      </c>
      <c r="L448">
        <v>0</v>
      </c>
      <c r="M448">
        <v>12730.999599999999</v>
      </c>
    </row>
    <row r="449" spans="1:13" x14ac:dyDescent="0.35">
      <c r="A449" t="s">
        <v>13</v>
      </c>
      <c r="B449" t="s">
        <v>7</v>
      </c>
      <c r="C449" t="s">
        <v>11</v>
      </c>
      <c r="H449">
        <f>IF(B449="female", 0, 1)</f>
        <v>0</v>
      </c>
      <c r="I449">
        <f>IF(C449= "yes", 1, 0)</f>
        <v>0</v>
      </c>
      <c r="J449">
        <v>56</v>
      </c>
      <c r="K449">
        <v>25.65</v>
      </c>
      <c r="L449">
        <v>0</v>
      </c>
      <c r="M449">
        <v>11454.021500000001</v>
      </c>
    </row>
    <row r="450" spans="1:13" x14ac:dyDescent="0.35">
      <c r="A450" t="s">
        <v>9</v>
      </c>
      <c r="B450" t="s">
        <v>7</v>
      </c>
      <c r="C450" t="s">
        <v>11</v>
      </c>
      <c r="H450">
        <f>IF(B450="female", 0, 1)</f>
        <v>0</v>
      </c>
      <c r="I450">
        <f>IF(C450= "yes", 1, 0)</f>
        <v>0</v>
      </c>
      <c r="J450">
        <v>40</v>
      </c>
      <c r="K450">
        <v>29.6</v>
      </c>
      <c r="L450">
        <v>0</v>
      </c>
      <c r="M450">
        <v>5910.9440000000004</v>
      </c>
    </row>
    <row r="451" spans="1:13" x14ac:dyDescent="0.35">
      <c r="A451" t="s">
        <v>9</v>
      </c>
      <c r="B451" t="s">
        <v>10</v>
      </c>
      <c r="C451" t="s">
        <v>11</v>
      </c>
      <c r="H451">
        <f>IF(B451="female", 0, 1)</f>
        <v>1</v>
      </c>
      <c r="I451">
        <f>IF(C451= "yes", 1, 0)</f>
        <v>0</v>
      </c>
      <c r="J451">
        <v>35</v>
      </c>
      <c r="K451">
        <v>38.6</v>
      </c>
      <c r="L451">
        <v>1</v>
      </c>
      <c r="M451">
        <v>4762.3289999999997</v>
      </c>
    </row>
    <row r="452" spans="1:13" x14ac:dyDescent="0.35">
      <c r="A452" t="s">
        <v>9</v>
      </c>
      <c r="B452" t="s">
        <v>10</v>
      </c>
      <c r="C452" t="s">
        <v>11</v>
      </c>
      <c r="H452">
        <f>IF(B452="female", 0, 1)</f>
        <v>1</v>
      </c>
      <c r="I452">
        <f>IF(C452= "yes", 1, 0)</f>
        <v>0</v>
      </c>
      <c r="J452">
        <v>39</v>
      </c>
      <c r="K452">
        <v>29.6</v>
      </c>
      <c r="L452">
        <v>4</v>
      </c>
      <c r="M452">
        <v>7512.2669999999998</v>
      </c>
    </row>
    <row r="453" spans="1:13" x14ac:dyDescent="0.35">
      <c r="A453" t="s">
        <v>13</v>
      </c>
      <c r="B453" t="s">
        <v>10</v>
      </c>
      <c r="C453" t="s">
        <v>11</v>
      </c>
      <c r="H453">
        <f>IF(B453="female", 0, 1)</f>
        <v>1</v>
      </c>
      <c r="I453">
        <f>IF(C453= "yes", 1, 0)</f>
        <v>0</v>
      </c>
      <c r="J453">
        <v>30</v>
      </c>
      <c r="K453">
        <v>24.13</v>
      </c>
      <c r="L453">
        <v>1</v>
      </c>
      <c r="M453">
        <v>4032.2406999999998</v>
      </c>
    </row>
    <row r="454" spans="1:13" x14ac:dyDescent="0.35">
      <c r="A454" t="s">
        <v>9</v>
      </c>
      <c r="B454" t="s">
        <v>10</v>
      </c>
      <c r="C454" t="s">
        <v>11</v>
      </c>
      <c r="H454">
        <f>IF(B454="female", 0, 1)</f>
        <v>1</v>
      </c>
      <c r="I454">
        <f>IF(C454= "yes", 1, 0)</f>
        <v>0</v>
      </c>
      <c r="J454">
        <v>24</v>
      </c>
      <c r="K454">
        <v>23.4</v>
      </c>
      <c r="L454">
        <v>0</v>
      </c>
      <c r="M454">
        <v>1969.614</v>
      </c>
    </row>
    <row r="455" spans="1:13" x14ac:dyDescent="0.35">
      <c r="A455" t="s">
        <v>13</v>
      </c>
      <c r="B455" t="s">
        <v>10</v>
      </c>
      <c r="C455" t="s">
        <v>11</v>
      </c>
      <c r="H455">
        <f>IF(B455="female", 0, 1)</f>
        <v>1</v>
      </c>
      <c r="I455">
        <f>IF(C455= "yes", 1, 0)</f>
        <v>0</v>
      </c>
      <c r="J455">
        <v>20</v>
      </c>
      <c r="K455">
        <v>29.734999999999999</v>
      </c>
      <c r="L455">
        <v>0</v>
      </c>
      <c r="M455">
        <v>1769.5316499999999</v>
      </c>
    </row>
    <row r="456" spans="1:13" x14ac:dyDescent="0.35">
      <c r="A456" t="s">
        <v>12</v>
      </c>
      <c r="B456" t="s">
        <v>10</v>
      </c>
      <c r="C456" t="s">
        <v>11</v>
      </c>
      <c r="H456">
        <f>IF(B456="female", 0, 1)</f>
        <v>1</v>
      </c>
      <c r="I456">
        <f>IF(C456= "yes", 1, 0)</f>
        <v>0</v>
      </c>
      <c r="J456">
        <v>32</v>
      </c>
      <c r="K456">
        <v>46.53</v>
      </c>
      <c r="L456">
        <v>2</v>
      </c>
      <c r="M456">
        <v>4686.3887000000004</v>
      </c>
    </row>
    <row r="457" spans="1:13" x14ac:dyDescent="0.35">
      <c r="A457" t="s">
        <v>9</v>
      </c>
      <c r="B457" t="s">
        <v>10</v>
      </c>
      <c r="C457" t="s">
        <v>11</v>
      </c>
      <c r="H457">
        <f>IF(B457="female", 0, 1)</f>
        <v>1</v>
      </c>
      <c r="I457">
        <f>IF(C457= "yes", 1, 0)</f>
        <v>0</v>
      </c>
      <c r="J457">
        <v>59</v>
      </c>
      <c r="K457">
        <v>37.4</v>
      </c>
      <c r="L457">
        <v>0</v>
      </c>
      <c r="M457">
        <v>21797.000400000001</v>
      </c>
    </row>
    <row r="458" spans="1:13" x14ac:dyDescent="0.35">
      <c r="A458" t="s">
        <v>12</v>
      </c>
      <c r="B458" t="s">
        <v>7</v>
      </c>
      <c r="C458" t="s">
        <v>11</v>
      </c>
      <c r="H458">
        <f>IF(B458="female", 0, 1)</f>
        <v>0</v>
      </c>
      <c r="I458">
        <f>IF(C458= "yes", 1, 0)</f>
        <v>0</v>
      </c>
      <c r="J458">
        <v>55</v>
      </c>
      <c r="K458">
        <v>30.14</v>
      </c>
      <c r="L458">
        <v>2</v>
      </c>
      <c r="M458">
        <v>11881.9696</v>
      </c>
    </row>
    <row r="459" spans="1:13" x14ac:dyDescent="0.35">
      <c r="A459" t="s">
        <v>13</v>
      </c>
      <c r="B459" t="s">
        <v>7</v>
      </c>
      <c r="C459" t="s">
        <v>11</v>
      </c>
      <c r="H459">
        <f>IF(B459="female", 0, 1)</f>
        <v>0</v>
      </c>
      <c r="I459">
        <f>IF(C459= "yes", 1, 0)</f>
        <v>0</v>
      </c>
      <c r="J459">
        <v>57</v>
      </c>
      <c r="K459">
        <v>30.495000000000001</v>
      </c>
      <c r="L459">
        <v>0</v>
      </c>
      <c r="M459">
        <v>11840.77505</v>
      </c>
    </row>
    <row r="460" spans="1:13" x14ac:dyDescent="0.35">
      <c r="A460" t="s">
        <v>9</v>
      </c>
      <c r="B460" t="s">
        <v>10</v>
      </c>
      <c r="C460" t="s">
        <v>11</v>
      </c>
      <c r="H460">
        <f>IF(B460="female", 0, 1)</f>
        <v>1</v>
      </c>
      <c r="I460">
        <f>IF(C460= "yes", 1, 0)</f>
        <v>0</v>
      </c>
      <c r="J460">
        <v>56</v>
      </c>
      <c r="K460">
        <v>39.6</v>
      </c>
      <c r="L460">
        <v>0</v>
      </c>
      <c r="M460">
        <v>10601.412</v>
      </c>
    </row>
    <row r="461" spans="1:13" x14ac:dyDescent="0.35">
      <c r="A461" t="s">
        <v>12</v>
      </c>
      <c r="B461" t="s">
        <v>7</v>
      </c>
      <c r="C461" t="s">
        <v>11</v>
      </c>
      <c r="H461">
        <f>IF(B461="female", 0, 1)</f>
        <v>0</v>
      </c>
      <c r="I461">
        <f>IF(C461= "yes", 1, 0)</f>
        <v>0</v>
      </c>
      <c r="J461">
        <v>40</v>
      </c>
      <c r="K461">
        <v>33</v>
      </c>
      <c r="L461">
        <v>3</v>
      </c>
      <c r="M461">
        <v>7682.67</v>
      </c>
    </row>
    <row r="462" spans="1:13" x14ac:dyDescent="0.35">
      <c r="A462" t="s">
        <v>12</v>
      </c>
      <c r="B462" t="s">
        <v>7</v>
      </c>
      <c r="C462" t="s">
        <v>11</v>
      </c>
      <c r="H462">
        <f>IF(B462="female", 0, 1)</f>
        <v>0</v>
      </c>
      <c r="I462">
        <f>IF(C462= "yes", 1, 0)</f>
        <v>0</v>
      </c>
      <c r="J462">
        <v>49</v>
      </c>
      <c r="K462">
        <v>36.630000000000003</v>
      </c>
      <c r="L462">
        <v>3</v>
      </c>
      <c r="M462">
        <v>10381.4787</v>
      </c>
    </row>
    <row r="463" spans="1:13" x14ac:dyDescent="0.35">
      <c r="A463" t="s">
        <v>9</v>
      </c>
      <c r="B463" t="s">
        <v>10</v>
      </c>
      <c r="C463" t="s">
        <v>8</v>
      </c>
      <c r="H463">
        <f>IF(B463="female", 0, 1)</f>
        <v>1</v>
      </c>
      <c r="I463">
        <f>IF(C463= "yes", 1, 0)</f>
        <v>1</v>
      </c>
      <c r="J463">
        <v>42</v>
      </c>
      <c r="K463">
        <v>30</v>
      </c>
      <c r="L463">
        <v>0</v>
      </c>
      <c r="M463">
        <v>22144.031999999999</v>
      </c>
    </row>
    <row r="464" spans="1:13" x14ac:dyDescent="0.35">
      <c r="A464" t="s">
        <v>14</v>
      </c>
      <c r="B464" t="s">
        <v>7</v>
      </c>
      <c r="C464" t="s">
        <v>11</v>
      </c>
      <c r="H464">
        <f>IF(B464="female", 0, 1)</f>
        <v>0</v>
      </c>
      <c r="I464">
        <f>IF(C464= "yes", 1, 0)</f>
        <v>0</v>
      </c>
      <c r="J464">
        <v>62</v>
      </c>
      <c r="K464">
        <v>38.094999999999999</v>
      </c>
      <c r="L464">
        <v>2</v>
      </c>
      <c r="M464">
        <v>15230.324049999999</v>
      </c>
    </row>
    <row r="465" spans="1:13" x14ac:dyDescent="0.35">
      <c r="A465" t="s">
        <v>14</v>
      </c>
      <c r="B465" t="s">
        <v>10</v>
      </c>
      <c r="C465" t="s">
        <v>11</v>
      </c>
      <c r="H465">
        <f>IF(B465="female", 0, 1)</f>
        <v>1</v>
      </c>
      <c r="I465">
        <f>IF(C465= "yes", 1, 0)</f>
        <v>0</v>
      </c>
      <c r="J465">
        <v>56</v>
      </c>
      <c r="K465">
        <v>25.934999999999999</v>
      </c>
      <c r="L465">
        <v>0</v>
      </c>
      <c r="M465">
        <v>11165.417649999999</v>
      </c>
    </row>
    <row r="466" spans="1:13" x14ac:dyDescent="0.35">
      <c r="A466" t="s">
        <v>13</v>
      </c>
      <c r="B466" t="s">
        <v>10</v>
      </c>
      <c r="C466" t="s">
        <v>11</v>
      </c>
      <c r="H466">
        <f>IF(B466="female", 0, 1)</f>
        <v>1</v>
      </c>
      <c r="I466">
        <f>IF(C466= "yes", 1, 0)</f>
        <v>0</v>
      </c>
      <c r="J466">
        <v>19</v>
      </c>
      <c r="K466">
        <v>25.175000000000001</v>
      </c>
      <c r="L466">
        <v>0</v>
      </c>
      <c r="M466">
        <v>1632.0362500000001</v>
      </c>
    </row>
    <row r="467" spans="1:13" x14ac:dyDescent="0.35">
      <c r="A467" t="s">
        <v>12</v>
      </c>
      <c r="B467" t="s">
        <v>7</v>
      </c>
      <c r="C467" t="s">
        <v>8</v>
      </c>
      <c r="H467">
        <f>IF(B467="female", 0, 1)</f>
        <v>0</v>
      </c>
      <c r="I467">
        <f>IF(C467= "yes", 1, 0)</f>
        <v>1</v>
      </c>
      <c r="J467">
        <v>30</v>
      </c>
      <c r="K467">
        <v>28.38</v>
      </c>
      <c r="L467">
        <v>1</v>
      </c>
      <c r="M467">
        <v>19521.968199999999</v>
      </c>
    </row>
    <row r="468" spans="1:13" x14ac:dyDescent="0.35">
      <c r="A468" t="s">
        <v>9</v>
      </c>
      <c r="B468" t="s">
        <v>7</v>
      </c>
      <c r="C468" t="s">
        <v>11</v>
      </c>
      <c r="H468">
        <f>IF(B468="female", 0, 1)</f>
        <v>0</v>
      </c>
      <c r="I468">
        <f>IF(C468= "yes", 1, 0)</f>
        <v>0</v>
      </c>
      <c r="J468">
        <v>60</v>
      </c>
      <c r="K468">
        <v>28.7</v>
      </c>
      <c r="L468">
        <v>1</v>
      </c>
      <c r="M468">
        <v>13224.692999999999</v>
      </c>
    </row>
    <row r="469" spans="1:13" x14ac:dyDescent="0.35">
      <c r="A469" t="s">
        <v>13</v>
      </c>
      <c r="B469" t="s">
        <v>7</v>
      </c>
      <c r="C469" t="s">
        <v>11</v>
      </c>
      <c r="H469">
        <f>IF(B469="female", 0, 1)</f>
        <v>0</v>
      </c>
      <c r="I469">
        <f>IF(C469= "yes", 1, 0)</f>
        <v>0</v>
      </c>
      <c r="J469">
        <v>56</v>
      </c>
      <c r="K469">
        <v>33.82</v>
      </c>
      <c r="L469">
        <v>2</v>
      </c>
      <c r="M469">
        <v>12643.3778</v>
      </c>
    </row>
    <row r="470" spans="1:13" x14ac:dyDescent="0.35">
      <c r="A470" t="s">
        <v>14</v>
      </c>
      <c r="B470" t="s">
        <v>7</v>
      </c>
      <c r="C470" t="s">
        <v>11</v>
      </c>
      <c r="H470">
        <f>IF(B470="female", 0, 1)</f>
        <v>0</v>
      </c>
      <c r="I470">
        <f>IF(C470= "yes", 1, 0)</f>
        <v>0</v>
      </c>
      <c r="J470">
        <v>28</v>
      </c>
      <c r="K470">
        <v>24.32</v>
      </c>
      <c r="L470">
        <v>1</v>
      </c>
      <c r="M470">
        <v>23288.928400000001</v>
      </c>
    </row>
    <row r="471" spans="1:13" x14ac:dyDescent="0.35">
      <c r="A471" t="s">
        <v>12</v>
      </c>
      <c r="B471" t="s">
        <v>7</v>
      </c>
      <c r="C471" t="s">
        <v>11</v>
      </c>
      <c r="H471">
        <f>IF(B471="female", 0, 1)</f>
        <v>0</v>
      </c>
      <c r="I471">
        <f>IF(C471= "yes", 1, 0)</f>
        <v>0</v>
      </c>
      <c r="J471">
        <v>18</v>
      </c>
      <c r="K471">
        <v>24.09</v>
      </c>
      <c r="L471">
        <v>1</v>
      </c>
      <c r="M471">
        <v>2201.0971</v>
      </c>
    </row>
    <row r="472" spans="1:13" x14ac:dyDescent="0.35">
      <c r="A472" t="s">
        <v>12</v>
      </c>
      <c r="B472" t="s">
        <v>10</v>
      </c>
      <c r="C472" t="s">
        <v>11</v>
      </c>
      <c r="H472">
        <f>IF(B472="female", 0, 1)</f>
        <v>1</v>
      </c>
      <c r="I472">
        <f>IF(C472= "yes", 1, 0)</f>
        <v>0</v>
      </c>
      <c r="J472">
        <v>27</v>
      </c>
      <c r="K472">
        <v>32.67</v>
      </c>
      <c r="L472">
        <v>0</v>
      </c>
      <c r="M472">
        <v>2497.0383000000002</v>
      </c>
    </row>
    <row r="473" spans="1:13" x14ac:dyDescent="0.35">
      <c r="A473" t="s">
        <v>14</v>
      </c>
      <c r="B473" t="s">
        <v>7</v>
      </c>
      <c r="C473" t="s">
        <v>11</v>
      </c>
      <c r="H473">
        <f>IF(B473="female", 0, 1)</f>
        <v>0</v>
      </c>
      <c r="I473">
        <f>IF(C473= "yes", 1, 0)</f>
        <v>0</v>
      </c>
      <c r="J473">
        <v>18</v>
      </c>
      <c r="K473">
        <v>30.114999999999998</v>
      </c>
      <c r="L473">
        <v>0</v>
      </c>
      <c r="M473">
        <v>2203.4718499999999</v>
      </c>
    </row>
    <row r="474" spans="1:13" x14ac:dyDescent="0.35">
      <c r="A474" t="s">
        <v>9</v>
      </c>
      <c r="B474" t="s">
        <v>7</v>
      </c>
      <c r="C474" t="s">
        <v>11</v>
      </c>
      <c r="H474">
        <f>IF(B474="female", 0, 1)</f>
        <v>0</v>
      </c>
      <c r="I474">
        <f>IF(C474= "yes", 1, 0)</f>
        <v>0</v>
      </c>
      <c r="J474">
        <v>19</v>
      </c>
      <c r="K474">
        <v>29.8</v>
      </c>
      <c r="L474">
        <v>0</v>
      </c>
      <c r="M474">
        <v>1744.4649999999999</v>
      </c>
    </row>
    <row r="475" spans="1:13" x14ac:dyDescent="0.35">
      <c r="A475" t="s">
        <v>14</v>
      </c>
      <c r="B475" t="s">
        <v>7</v>
      </c>
      <c r="C475" t="s">
        <v>11</v>
      </c>
      <c r="H475">
        <f>IF(B475="female", 0, 1)</f>
        <v>0</v>
      </c>
      <c r="I475">
        <f>IF(C475= "yes", 1, 0)</f>
        <v>0</v>
      </c>
      <c r="J475">
        <v>47</v>
      </c>
      <c r="K475">
        <v>33.344999999999999</v>
      </c>
      <c r="L475">
        <v>0</v>
      </c>
      <c r="M475">
        <v>20878.78443</v>
      </c>
    </row>
    <row r="476" spans="1:13" x14ac:dyDescent="0.35">
      <c r="A476" t="s">
        <v>9</v>
      </c>
      <c r="B476" t="s">
        <v>10</v>
      </c>
      <c r="C476" t="s">
        <v>8</v>
      </c>
      <c r="H476">
        <f>IF(B476="female", 0, 1)</f>
        <v>1</v>
      </c>
      <c r="I476">
        <f>IF(C476= "yes", 1, 0)</f>
        <v>1</v>
      </c>
      <c r="J476">
        <v>54</v>
      </c>
      <c r="K476">
        <v>25.1</v>
      </c>
      <c r="L476">
        <v>3</v>
      </c>
      <c r="M476">
        <v>25382.296999999999</v>
      </c>
    </row>
    <row r="477" spans="1:13" x14ac:dyDescent="0.35">
      <c r="A477" t="s">
        <v>13</v>
      </c>
      <c r="B477" t="s">
        <v>10</v>
      </c>
      <c r="C477" t="s">
        <v>8</v>
      </c>
      <c r="H477">
        <f>IF(B477="female", 0, 1)</f>
        <v>1</v>
      </c>
      <c r="I477">
        <f>IF(C477= "yes", 1, 0)</f>
        <v>1</v>
      </c>
      <c r="J477">
        <v>61</v>
      </c>
      <c r="K477">
        <v>28.31</v>
      </c>
      <c r="L477">
        <v>1</v>
      </c>
      <c r="M477">
        <v>28868.6639</v>
      </c>
    </row>
    <row r="478" spans="1:13" x14ac:dyDescent="0.35">
      <c r="A478" t="s">
        <v>14</v>
      </c>
      <c r="B478" t="s">
        <v>10</v>
      </c>
      <c r="C478" t="s">
        <v>8</v>
      </c>
      <c r="H478">
        <f>IF(B478="female", 0, 1)</f>
        <v>1</v>
      </c>
      <c r="I478">
        <f>IF(C478= "yes", 1, 0)</f>
        <v>1</v>
      </c>
      <c r="J478">
        <v>24</v>
      </c>
      <c r="K478">
        <v>28.5</v>
      </c>
      <c r="L478">
        <v>0</v>
      </c>
      <c r="M478">
        <v>35147.528480000001</v>
      </c>
    </row>
    <row r="479" spans="1:13" x14ac:dyDescent="0.35">
      <c r="A479" t="s">
        <v>13</v>
      </c>
      <c r="B479" t="s">
        <v>10</v>
      </c>
      <c r="C479" t="s">
        <v>11</v>
      </c>
      <c r="H479">
        <f>IF(B479="female", 0, 1)</f>
        <v>1</v>
      </c>
      <c r="I479">
        <f>IF(C479= "yes", 1, 0)</f>
        <v>0</v>
      </c>
      <c r="J479">
        <v>25</v>
      </c>
      <c r="K479">
        <v>35.625</v>
      </c>
      <c r="L479">
        <v>0</v>
      </c>
      <c r="M479">
        <v>2534.3937500000002</v>
      </c>
    </row>
    <row r="480" spans="1:13" x14ac:dyDescent="0.35">
      <c r="A480" t="s">
        <v>12</v>
      </c>
      <c r="B480" t="s">
        <v>10</v>
      </c>
      <c r="C480" t="s">
        <v>11</v>
      </c>
      <c r="H480">
        <f>IF(B480="female", 0, 1)</f>
        <v>1</v>
      </c>
      <c r="I480">
        <f>IF(C480= "yes", 1, 0)</f>
        <v>0</v>
      </c>
      <c r="J480">
        <v>21</v>
      </c>
      <c r="K480">
        <v>36.85</v>
      </c>
      <c r="L480">
        <v>0</v>
      </c>
      <c r="M480">
        <v>1534.3045</v>
      </c>
    </row>
    <row r="481" spans="1:13" x14ac:dyDescent="0.35">
      <c r="A481" t="s">
        <v>12</v>
      </c>
      <c r="B481" t="s">
        <v>10</v>
      </c>
      <c r="C481" t="s">
        <v>11</v>
      </c>
      <c r="H481">
        <f>IF(B481="female", 0, 1)</f>
        <v>1</v>
      </c>
      <c r="I481">
        <f>IF(C481= "yes", 1, 0)</f>
        <v>0</v>
      </c>
      <c r="J481">
        <v>23</v>
      </c>
      <c r="K481">
        <v>32.56</v>
      </c>
      <c r="L481">
        <v>0</v>
      </c>
      <c r="M481">
        <v>1824.2854</v>
      </c>
    </row>
    <row r="482" spans="1:13" x14ac:dyDescent="0.35">
      <c r="A482" t="s">
        <v>13</v>
      </c>
      <c r="B482" t="s">
        <v>10</v>
      </c>
      <c r="C482" t="s">
        <v>11</v>
      </c>
      <c r="H482">
        <f>IF(B482="female", 0, 1)</f>
        <v>1</v>
      </c>
      <c r="I482">
        <f>IF(C482= "yes", 1, 0)</f>
        <v>0</v>
      </c>
      <c r="J482">
        <v>63</v>
      </c>
      <c r="K482">
        <v>41.325000000000003</v>
      </c>
      <c r="L482">
        <v>3</v>
      </c>
      <c r="M482">
        <v>15555.188749999999</v>
      </c>
    </row>
    <row r="483" spans="1:13" x14ac:dyDescent="0.35">
      <c r="A483" t="s">
        <v>12</v>
      </c>
      <c r="B483" t="s">
        <v>10</v>
      </c>
      <c r="C483" t="s">
        <v>11</v>
      </c>
      <c r="H483">
        <f>IF(B483="female", 0, 1)</f>
        <v>1</v>
      </c>
      <c r="I483">
        <f>IF(C483= "yes", 1, 0)</f>
        <v>0</v>
      </c>
      <c r="J483">
        <v>49</v>
      </c>
      <c r="K483">
        <v>37.51</v>
      </c>
      <c r="L483">
        <v>2</v>
      </c>
      <c r="M483">
        <v>9304.7019</v>
      </c>
    </row>
    <row r="484" spans="1:13" x14ac:dyDescent="0.35">
      <c r="A484" t="s">
        <v>12</v>
      </c>
      <c r="B484" t="s">
        <v>7</v>
      </c>
      <c r="C484" t="s">
        <v>11</v>
      </c>
      <c r="H484">
        <f>IF(B484="female", 0, 1)</f>
        <v>0</v>
      </c>
      <c r="I484">
        <f>IF(C484= "yes", 1, 0)</f>
        <v>0</v>
      </c>
      <c r="J484">
        <v>18</v>
      </c>
      <c r="K484">
        <v>31.35</v>
      </c>
      <c r="L484">
        <v>0</v>
      </c>
      <c r="M484">
        <v>1622.1885</v>
      </c>
    </row>
    <row r="485" spans="1:13" x14ac:dyDescent="0.35">
      <c r="A485" t="s">
        <v>9</v>
      </c>
      <c r="B485" t="s">
        <v>7</v>
      </c>
      <c r="C485" t="s">
        <v>11</v>
      </c>
      <c r="H485">
        <f>IF(B485="female", 0, 1)</f>
        <v>0</v>
      </c>
      <c r="I485">
        <f>IF(C485= "yes", 1, 0)</f>
        <v>0</v>
      </c>
      <c r="J485">
        <v>51</v>
      </c>
      <c r="K485">
        <v>39.5</v>
      </c>
      <c r="L485">
        <v>1</v>
      </c>
      <c r="M485">
        <v>9880.0679999999993</v>
      </c>
    </row>
    <row r="486" spans="1:13" x14ac:dyDescent="0.35">
      <c r="A486" t="s">
        <v>9</v>
      </c>
      <c r="B486" t="s">
        <v>10</v>
      </c>
      <c r="C486" t="s">
        <v>11</v>
      </c>
      <c r="H486">
        <f>IF(B486="female", 0, 1)</f>
        <v>1</v>
      </c>
      <c r="I486">
        <f>IF(C486= "yes", 1, 0)</f>
        <v>0</v>
      </c>
      <c r="J486">
        <v>48</v>
      </c>
      <c r="K486">
        <v>34.299999999999997</v>
      </c>
      <c r="L486">
        <v>3</v>
      </c>
      <c r="M486">
        <v>9563.0290000000005</v>
      </c>
    </row>
    <row r="487" spans="1:13" x14ac:dyDescent="0.35">
      <c r="A487" t="s">
        <v>14</v>
      </c>
      <c r="B487" t="s">
        <v>7</v>
      </c>
      <c r="C487" t="s">
        <v>11</v>
      </c>
      <c r="H487">
        <f>IF(B487="female", 0, 1)</f>
        <v>0</v>
      </c>
      <c r="I487">
        <f>IF(C487= "yes", 1, 0)</f>
        <v>0</v>
      </c>
      <c r="J487">
        <v>31</v>
      </c>
      <c r="K487">
        <v>31.065000000000001</v>
      </c>
      <c r="L487">
        <v>0</v>
      </c>
      <c r="M487">
        <v>4347.0233500000004</v>
      </c>
    </row>
    <row r="488" spans="1:13" x14ac:dyDescent="0.35">
      <c r="A488" t="s">
        <v>13</v>
      </c>
      <c r="B488" t="s">
        <v>7</v>
      </c>
      <c r="C488" t="s">
        <v>11</v>
      </c>
      <c r="H488">
        <f>IF(B488="female", 0, 1)</f>
        <v>0</v>
      </c>
      <c r="I488">
        <f>IF(C488= "yes", 1, 0)</f>
        <v>0</v>
      </c>
      <c r="J488">
        <v>54</v>
      </c>
      <c r="K488">
        <v>21.47</v>
      </c>
      <c r="L488">
        <v>3</v>
      </c>
      <c r="M488">
        <v>12475.3513</v>
      </c>
    </row>
    <row r="489" spans="1:13" x14ac:dyDescent="0.35">
      <c r="A489" t="s">
        <v>9</v>
      </c>
      <c r="B489" t="s">
        <v>10</v>
      </c>
      <c r="C489" t="s">
        <v>11</v>
      </c>
      <c r="H489">
        <f>IF(B489="female", 0, 1)</f>
        <v>1</v>
      </c>
      <c r="I489">
        <f>IF(C489= "yes", 1, 0)</f>
        <v>0</v>
      </c>
      <c r="J489">
        <v>19</v>
      </c>
      <c r="K489">
        <v>28.7</v>
      </c>
      <c r="L489">
        <v>0</v>
      </c>
      <c r="M489">
        <v>1253.9359999999999</v>
      </c>
    </row>
    <row r="490" spans="1:13" x14ac:dyDescent="0.35">
      <c r="A490" t="s">
        <v>12</v>
      </c>
      <c r="B490" t="s">
        <v>7</v>
      </c>
      <c r="C490" t="s">
        <v>8</v>
      </c>
      <c r="H490">
        <f>IF(B490="female", 0, 1)</f>
        <v>0</v>
      </c>
      <c r="I490">
        <f>IF(C490= "yes", 1, 0)</f>
        <v>1</v>
      </c>
      <c r="J490">
        <v>44</v>
      </c>
      <c r="K490">
        <v>38.06</v>
      </c>
      <c r="L490">
        <v>0</v>
      </c>
      <c r="M490">
        <v>48885.135609999998</v>
      </c>
    </row>
    <row r="491" spans="1:13" x14ac:dyDescent="0.35">
      <c r="A491" t="s">
        <v>13</v>
      </c>
      <c r="B491" t="s">
        <v>10</v>
      </c>
      <c r="C491" t="s">
        <v>11</v>
      </c>
      <c r="H491">
        <f>IF(B491="female", 0, 1)</f>
        <v>1</v>
      </c>
      <c r="I491">
        <f>IF(C491= "yes", 1, 0)</f>
        <v>0</v>
      </c>
      <c r="J491">
        <v>53</v>
      </c>
      <c r="K491">
        <v>31.16</v>
      </c>
      <c r="L491">
        <v>1</v>
      </c>
      <c r="M491">
        <v>10461.9794</v>
      </c>
    </row>
    <row r="492" spans="1:13" x14ac:dyDescent="0.35">
      <c r="A492" t="s">
        <v>9</v>
      </c>
      <c r="B492" t="s">
        <v>7</v>
      </c>
      <c r="C492" t="s">
        <v>11</v>
      </c>
      <c r="H492">
        <f>IF(B492="female", 0, 1)</f>
        <v>0</v>
      </c>
      <c r="I492">
        <f>IF(C492= "yes", 1, 0)</f>
        <v>0</v>
      </c>
      <c r="J492">
        <v>19</v>
      </c>
      <c r="K492">
        <v>32.9</v>
      </c>
      <c r="L492">
        <v>0</v>
      </c>
      <c r="M492">
        <v>1748.7739999999999</v>
      </c>
    </row>
    <row r="493" spans="1:13" x14ac:dyDescent="0.35">
      <c r="A493" t="s">
        <v>12</v>
      </c>
      <c r="B493" t="s">
        <v>7</v>
      </c>
      <c r="C493" t="s">
        <v>11</v>
      </c>
      <c r="H493">
        <f>IF(B493="female", 0, 1)</f>
        <v>0</v>
      </c>
      <c r="I493">
        <f>IF(C493= "yes", 1, 0)</f>
        <v>0</v>
      </c>
      <c r="J493">
        <v>61</v>
      </c>
      <c r="K493">
        <v>25.08</v>
      </c>
      <c r="L493">
        <v>0</v>
      </c>
      <c r="M493">
        <v>24513.091260000001</v>
      </c>
    </row>
    <row r="494" spans="1:13" x14ac:dyDescent="0.35">
      <c r="A494" t="s">
        <v>14</v>
      </c>
      <c r="B494" t="s">
        <v>7</v>
      </c>
      <c r="C494" t="s">
        <v>11</v>
      </c>
      <c r="H494">
        <f>IF(B494="female", 0, 1)</f>
        <v>0</v>
      </c>
      <c r="I494">
        <f>IF(C494= "yes", 1, 0)</f>
        <v>0</v>
      </c>
      <c r="J494">
        <v>18</v>
      </c>
      <c r="K494">
        <v>25.08</v>
      </c>
      <c r="L494">
        <v>0</v>
      </c>
      <c r="M494">
        <v>2196.4731999999999</v>
      </c>
    </row>
    <row r="495" spans="1:13" x14ac:dyDescent="0.35">
      <c r="A495" t="s">
        <v>9</v>
      </c>
      <c r="B495" t="s">
        <v>10</v>
      </c>
      <c r="C495" t="s">
        <v>11</v>
      </c>
      <c r="H495">
        <f>IF(B495="female", 0, 1)</f>
        <v>1</v>
      </c>
      <c r="I495">
        <f>IF(C495= "yes", 1, 0)</f>
        <v>0</v>
      </c>
      <c r="J495">
        <v>61</v>
      </c>
      <c r="K495">
        <v>43.4</v>
      </c>
      <c r="L495">
        <v>0</v>
      </c>
      <c r="M495">
        <v>12574.049000000001</v>
      </c>
    </row>
    <row r="496" spans="1:13" x14ac:dyDescent="0.35">
      <c r="A496" t="s">
        <v>9</v>
      </c>
      <c r="B496" t="s">
        <v>10</v>
      </c>
      <c r="C496" t="s">
        <v>8</v>
      </c>
      <c r="H496">
        <f>IF(B496="female", 0, 1)</f>
        <v>1</v>
      </c>
      <c r="I496">
        <f>IF(C496= "yes", 1, 0)</f>
        <v>1</v>
      </c>
      <c r="J496">
        <v>21</v>
      </c>
      <c r="K496">
        <v>25.7</v>
      </c>
      <c r="L496">
        <v>4</v>
      </c>
      <c r="M496">
        <v>17942.106</v>
      </c>
    </row>
    <row r="497" spans="1:13" x14ac:dyDescent="0.35">
      <c r="A497" t="s">
        <v>14</v>
      </c>
      <c r="B497" t="s">
        <v>10</v>
      </c>
      <c r="C497" t="s">
        <v>11</v>
      </c>
      <c r="H497">
        <f>IF(B497="female", 0, 1)</f>
        <v>1</v>
      </c>
      <c r="I497">
        <f>IF(C497= "yes", 1, 0)</f>
        <v>0</v>
      </c>
      <c r="J497">
        <v>20</v>
      </c>
      <c r="K497">
        <v>27.93</v>
      </c>
      <c r="L497">
        <v>0</v>
      </c>
      <c r="M497">
        <v>1967.0227</v>
      </c>
    </row>
    <row r="498" spans="1:13" x14ac:dyDescent="0.35">
      <c r="A498" t="s">
        <v>9</v>
      </c>
      <c r="B498" t="s">
        <v>7</v>
      </c>
      <c r="C498" t="s">
        <v>11</v>
      </c>
      <c r="H498">
        <f>IF(B498="female", 0, 1)</f>
        <v>0</v>
      </c>
      <c r="I498">
        <f>IF(C498= "yes", 1, 0)</f>
        <v>0</v>
      </c>
      <c r="J498">
        <v>31</v>
      </c>
      <c r="K498">
        <v>23.6</v>
      </c>
      <c r="L498">
        <v>2</v>
      </c>
      <c r="M498">
        <v>4931.6469999999999</v>
      </c>
    </row>
    <row r="499" spans="1:13" x14ac:dyDescent="0.35">
      <c r="A499" t="s">
        <v>9</v>
      </c>
      <c r="B499" t="s">
        <v>10</v>
      </c>
      <c r="C499" t="s">
        <v>11</v>
      </c>
      <c r="H499">
        <f>IF(B499="female", 0, 1)</f>
        <v>1</v>
      </c>
      <c r="I499">
        <f>IF(C499= "yes", 1, 0)</f>
        <v>0</v>
      </c>
      <c r="J499">
        <v>45</v>
      </c>
      <c r="K499">
        <v>28.7</v>
      </c>
      <c r="L499">
        <v>2</v>
      </c>
      <c r="M499">
        <v>8027.9679999999998</v>
      </c>
    </row>
    <row r="500" spans="1:13" x14ac:dyDescent="0.35">
      <c r="A500" t="s">
        <v>12</v>
      </c>
      <c r="B500" t="s">
        <v>7</v>
      </c>
      <c r="C500" t="s">
        <v>11</v>
      </c>
      <c r="H500">
        <f>IF(B500="female", 0, 1)</f>
        <v>0</v>
      </c>
      <c r="I500">
        <f>IF(C500= "yes", 1, 0)</f>
        <v>0</v>
      </c>
      <c r="J500">
        <v>44</v>
      </c>
      <c r="K500">
        <v>23.98</v>
      </c>
      <c r="L500">
        <v>2</v>
      </c>
      <c r="M500">
        <v>8211.1002000000008</v>
      </c>
    </row>
    <row r="501" spans="1:13" x14ac:dyDescent="0.35">
      <c r="A501" t="s">
        <v>9</v>
      </c>
      <c r="B501" t="s">
        <v>7</v>
      </c>
      <c r="C501" t="s">
        <v>11</v>
      </c>
      <c r="H501">
        <f>IF(B501="female", 0, 1)</f>
        <v>0</v>
      </c>
      <c r="I501">
        <f>IF(C501= "yes", 1, 0)</f>
        <v>0</v>
      </c>
      <c r="J501">
        <v>62</v>
      </c>
      <c r="K501">
        <v>39.200000000000003</v>
      </c>
      <c r="L501">
        <v>0</v>
      </c>
      <c r="M501">
        <v>13470.86</v>
      </c>
    </row>
    <row r="502" spans="1:13" x14ac:dyDescent="0.35">
      <c r="A502" t="s">
        <v>9</v>
      </c>
      <c r="B502" t="s">
        <v>10</v>
      </c>
      <c r="C502" t="s">
        <v>8</v>
      </c>
      <c r="H502">
        <f>IF(B502="female", 0, 1)</f>
        <v>1</v>
      </c>
      <c r="I502">
        <f>IF(C502= "yes", 1, 0)</f>
        <v>1</v>
      </c>
      <c r="J502">
        <v>29</v>
      </c>
      <c r="K502">
        <v>34.4</v>
      </c>
      <c r="L502">
        <v>0</v>
      </c>
      <c r="M502">
        <v>36197.699000000001</v>
      </c>
    </row>
    <row r="503" spans="1:13" x14ac:dyDescent="0.35">
      <c r="A503" t="s">
        <v>14</v>
      </c>
      <c r="B503" t="s">
        <v>10</v>
      </c>
      <c r="C503" t="s">
        <v>11</v>
      </c>
      <c r="H503">
        <f>IF(B503="female", 0, 1)</f>
        <v>1</v>
      </c>
      <c r="I503">
        <f>IF(C503= "yes", 1, 0)</f>
        <v>0</v>
      </c>
      <c r="J503">
        <v>43</v>
      </c>
      <c r="K503">
        <v>26.03</v>
      </c>
      <c r="L503">
        <v>0</v>
      </c>
      <c r="M503">
        <v>6837.3687</v>
      </c>
    </row>
    <row r="504" spans="1:13" x14ac:dyDescent="0.35">
      <c r="A504" t="s">
        <v>12</v>
      </c>
      <c r="B504" t="s">
        <v>10</v>
      </c>
      <c r="C504" t="s">
        <v>8</v>
      </c>
      <c r="H504">
        <f>IF(B504="female", 0, 1)</f>
        <v>1</v>
      </c>
      <c r="I504">
        <f>IF(C504= "yes", 1, 0)</f>
        <v>1</v>
      </c>
      <c r="J504">
        <v>51</v>
      </c>
      <c r="K504">
        <v>23.21</v>
      </c>
      <c r="L504">
        <v>1</v>
      </c>
      <c r="M504">
        <v>22218.1149</v>
      </c>
    </row>
    <row r="505" spans="1:13" x14ac:dyDescent="0.35">
      <c r="A505" t="s">
        <v>12</v>
      </c>
      <c r="B505" t="s">
        <v>10</v>
      </c>
      <c r="C505" t="s">
        <v>8</v>
      </c>
      <c r="H505">
        <f>IF(B505="female", 0, 1)</f>
        <v>1</v>
      </c>
      <c r="I505">
        <f>IF(C505= "yes", 1, 0)</f>
        <v>1</v>
      </c>
      <c r="J505">
        <v>19</v>
      </c>
      <c r="K505">
        <v>30.25</v>
      </c>
      <c r="L505">
        <v>0</v>
      </c>
      <c r="M505">
        <v>32548.340499999998</v>
      </c>
    </row>
    <row r="506" spans="1:13" x14ac:dyDescent="0.35">
      <c r="A506" t="s">
        <v>12</v>
      </c>
      <c r="B506" t="s">
        <v>7</v>
      </c>
      <c r="C506" t="s">
        <v>11</v>
      </c>
      <c r="H506">
        <f>IF(B506="female", 0, 1)</f>
        <v>0</v>
      </c>
      <c r="I506">
        <f>IF(C506= "yes", 1, 0)</f>
        <v>0</v>
      </c>
      <c r="J506">
        <v>38</v>
      </c>
      <c r="K506">
        <v>28.93</v>
      </c>
      <c r="L506">
        <v>1</v>
      </c>
      <c r="M506">
        <v>5974.3846999999996</v>
      </c>
    </row>
    <row r="507" spans="1:13" x14ac:dyDescent="0.35">
      <c r="A507" t="s">
        <v>13</v>
      </c>
      <c r="B507" t="s">
        <v>10</v>
      </c>
      <c r="C507" t="s">
        <v>11</v>
      </c>
      <c r="H507">
        <f>IF(B507="female", 0, 1)</f>
        <v>1</v>
      </c>
      <c r="I507">
        <f>IF(C507= "yes", 1, 0)</f>
        <v>0</v>
      </c>
      <c r="J507">
        <v>37</v>
      </c>
      <c r="K507">
        <v>30.875</v>
      </c>
      <c r="L507">
        <v>3</v>
      </c>
      <c r="M507">
        <v>6796.8632500000003</v>
      </c>
    </row>
    <row r="508" spans="1:13" x14ac:dyDescent="0.35">
      <c r="A508" t="s">
        <v>13</v>
      </c>
      <c r="B508" t="s">
        <v>10</v>
      </c>
      <c r="C508" t="s">
        <v>11</v>
      </c>
      <c r="H508">
        <f>IF(B508="female", 0, 1)</f>
        <v>1</v>
      </c>
      <c r="I508">
        <f>IF(C508= "yes", 1, 0)</f>
        <v>0</v>
      </c>
      <c r="J508">
        <v>22</v>
      </c>
      <c r="K508">
        <v>31.35</v>
      </c>
      <c r="L508">
        <v>1</v>
      </c>
      <c r="M508">
        <v>2643.2685000000001</v>
      </c>
    </row>
    <row r="509" spans="1:13" x14ac:dyDescent="0.35">
      <c r="A509" t="s">
        <v>13</v>
      </c>
      <c r="B509" t="s">
        <v>10</v>
      </c>
      <c r="C509" t="s">
        <v>11</v>
      </c>
      <c r="H509">
        <f>IF(B509="female", 0, 1)</f>
        <v>1</v>
      </c>
      <c r="I509">
        <f>IF(C509= "yes", 1, 0)</f>
        <v>0</v>
      </c>
      <c r="J509">
        <v>21</v>
      </c>
      <c r="K509">
        <v>23.75</v>
      </c>
      <c r="L509">
        <v>2</v>
      </c>
      <c r="M509">
        <v>3077.0954999999999</v>
      </c>
    </row>
    <row r="510" spans="1:13" x14ac:dyDescent="0.35">
      <c r="A510" t="s">
        <v>14</v>
      </c>
      <c r="B510" t="s">
        <v>7</v>
      </c>
      <c r="C510" t="s">
        <v>11</v>
      </c>
      <c r="H510">
        <f>IF(B510="female", 0, 1)</f>
        <v>0</v>
      </c>
      <c r="I510">
        <f>IF(C510= "yes", 1, 0)</f>
        <v>0</v>
      </c>
      <c r="J510">
        <v>24</v>
      </c>
      <c r="K510">
        <v>25.27</v>
      </c>
      <c r="L510">
        <v>0</v>
      </c>
      <c r="M510">
        <v>3044.2132999999999</v>
      </c>
    </row>
    <row r="511" spans="1:13" x14ac:dyDescent="0.35">
      <c r="A511" t="s">
        <v>9</v>
      </c>
      <c r="B511" t="s">
        <v>7</v>
      </c>
      <c r="C511" t="s">
        <v>11</v>
      </c>
      <c r="H511">
        <f>IF(B511="female", 0, 1)</f>
        <v>0</v>
      </c>
      <c r="I511">
        <f>IF(C511= "yes", 1, 0)</f>
        <v>0</v>
      </c>
      <c r="J511">
        <v>57</v>
      </c>
      <c r="K511">
        <v>28.7</v>
      </c>
      <c r="L511">
        <v>0</v>
      </c>
      <c r="M511">
        <v>11455.28</v>
      </c>
    </row>
    <row r="512" spans="1:13" x14ac:dyDescent="0.35">
      <c r="A512" t="s">
        <v>14</v>
      </c>
      <c r="B512" t="s">
        <v>10</v>
      </c>
      <c r="C512" t="s">
        <v>11</v>
      </c>
      <c r="H512">
        <f>IF(B512="female", 0, 1)</f>
        <v>1</v>
      </c>
      <c r="I512">
        <f>IF(C512= "yes", 1, 0)</f>
        <v>0</v>
      </c>
      <c r="J512">
        <v>56</v>
      </c>
      <c r="K512">
        <v>32.11</v>
      </c>
      <c r="L512">
        <v>1</v>
      </c>
      <c r="M512">
        <v>11763.000899999999</v>
      </c>
    </row>
    <row r="513" spans="1:13" x14ac:dyDescent="0.35">
      <c r="A513" t="s">
        <v>12</v>
      </c>
      <c r="B513" t="s">
        <v>10</v>
      </c>
      <c r="C513" t="s">
        <v>11</v>
      </c>
      <c r="H513">
        <f>IF(B513="female", 0, 1)</f>
        <v>1</v>
      </c>
      <c r="I513">
        <f>IF(C513= "yes", 1, 0)</f>
        <v>0</v>
      </c>
      <c r="J513">
        <v>27</v>
      </c>
      <c r="K513">
        <v>33.659999999999997</v>
      </c>
      <c r="L513">
        <v>0</v>
      </c>
      <c r="M513">
        <v>2498.4144000000001</v>
      </c>
    </row>
    <row r="514" spans="1:13" x14ac:dyDescent="0.35">
      <c r="A514" t="s">
        <v>14</v>
      </c>
      <c r="B514" t="s">
        <v>10</v>
      </c>
      <c r="C514" t="s">
        <v>11</v>
      </c>
      <c r="H514">
        <f>IF(B514="female", 0, 1)</f>
        <v>1</v>
      </c>
      <c r="I514">
        <f>IF(C514= "yes", 1, 0)</f>
        <v>0</v>
      </c>
      <c r="J514">
        <v>51</v>
      </c>
      <c r="K514">
        <v>22.42</v>
      </c>
      <c r="L514">
        <v>0</v>
      </c>
      <c r="M514">
        <v>9361.3268000000007</v>
      </c>
    </row>
    <row r="515" spans="1:13" x14ac:dyDescent="0.35">
      <c r="A515" t="s">
        <v>9</v>
      </c>
      <c r="B515" t="s">
        <v>10</v>
      </c>
      <c r="C515" t="s">
        <v>11</v>
      </c>
      <c r="H515">
        <f>IF(B515="female", 0, 1)</f>
        <v>1</v>
      </c>
      <c r="I515">
        <f>IF(C515= "yes", 1, 0)</f>
        <v>0</v>
      </c>
      <c r="J515">
        <v>19</v>
      </c>
      <c r="K515">
        <v>30.4</v>
      </c>
      <c r="L515">
        <v>0</v>
      </c>
      <c r="M515">
        <v>1256.299</v>
      </c>
    </row>
    <row r="516" spans="1:13" x14ac:dyDescent="0.35">
      <c r="A516" t="s">
        <v>9</v>
      </c>
      <c r="B516" t="s">
        <v>10</v>
      </c>
      <c r="C516" t="s">
        <v>8</v>
      </c>
      <c r="H516">
        <f>IF(B516="female", 0, 1)</f>
        <v>1</v>
      </c>
      <c r="I516">
        <f>IF(C516= "yes", 1, 0)</f>
        <v>1</v>
      </c>
      <c r="J516">
        <v>39</v>
      </c>
      <c r="K516">
        <v>28.3</v>
      </c>
      <c r="L516">
        <v>1</v>
      </c>
      <c r="M516">
        <v>21082.16</v>
      </c>
    </row>
    <row r="517" spans="1:13" x14ac:dyDescent="0.35">
      <c r="A517" t="s">
        <v>9</v>
      </c>
      <c r="B517" t="s">
        <v>10</v>
      </c>
      <c r="C517" t="s">
        <v>11</v>
      </c>
      <c r="H517">
        <f>IF(B517="female", 0, 1)</f>
        <v>1</v>
      </c>
      <c r="I517">
        <f>IF(C517= "yes", 1, 0)</f>
        <v>0</v>
      </c>
      <c r="J517">
        <v>58</v>
      </c>
      <c r="K517">
        <v>35.700000000000003</v>
      </c>
      <c r="L517">
        <v>0</v>
      </c>
      <c r="M517">
        <v>11362.754999999999</v>
      </c>
    </row>
    <row r="518" spans="1:13" x14ac:dyDescent="0.35">
      <c r="A518" t="s">
        <v>12</v>
      </c>
      <c r="B518" t="s">
        <v>10</v>
      </c>
      <c r="C518" t="s">
        <v>11</v>
      </c>
      <c r="H518">
        <f>IF(B518="female", 0, 1)</f>
        <v>1</v>
      </c>
      <c r="I518">
        <f>IF(C518= "yes", 1, 0)</f>
        <v>0</v>
      </c>
      <c r="J518">
        <v>20</v>
      </c>
      <c r="K518">
        <v>35.31</v>
      </c>
      <c r="L518">
        <v>1</v>
      </c>
      <c r="M518">
        <v>27724.28875</v>
      </c>
    </row>
    <row r="519" spans="1:13" x14ac:dyDescent="0.35">
      <c r="A519" t="s">
        <v>13</v>
      </c>
      <c r="B519" t="s">
        <v>10</v>
      </c>
      <c r="C519" t="s">
        <v>11</v>
      </c>
      <c r="H519">
        <f>IF(B519="female", 0, 1)</f>
        <v>1</v>
      </c>
      <c r="I519">
        <f>IF(C519= "yes", 1, 0)</f>
        <v>0</v>
      </c>
      <c r="J519">
        <v>45</v>
      </c>
      <c r="K519">
        <v>30.495000000000001</v>
      </c>
      <c r="L519">
        <v>2</v>
      </c>
      <c r="M519">
        <v>8413.4630500000003</v>
      </c>
    </row>
    <row r="520" spans="1:13" x14ac:dyDescent="0.35">
      <c r="A520" t="s">
        <v>9</v>
      </c>
      <c r="B520" t="s">
        <v>7</v>
      </c>
      <c r="C520" t="s">
        <v>11</v>
      </c>
      <c r="H520">
        <f>IF(B520="female", 0, 1)</f>
        <v>0</v>
      </c>
      <c r="I520">
        <f>IF(C520= "yes", 1, 0)</f>
        <v>0</v>
      </c>
      <c r="J520">
        <v>35</v>
      </c>
      <c r="K520">
        <v>31</v>
      </c>
      <c r="L520">
        <v>1</v>
      </c>
      <c r="M520">
        <v>5240.7650000000003</v>
      </c>
    </row>
    <row r="521" spans="1:13" x14ac:dyDescent="0.35">
      <c r="A521" t="s">
        <v>14</v>
      </c>
      <c r="B521" t="s">
        <v>10</v>
      </c>
      <c r="C521" t="s">
        <v>11</v>
      </c>
      <c r="H521">
        <f>IF(B521="female", 0, 1)</f>
        <v>1</v>
      </c>
      <c r="I521">
        <f>IF(C521= "yes", 1, 0)</f>
        <v>0</v>
      </c>
      <c r="J521">
        <v>31</v>
      </c>
      <c r="K521">
        <v>30.875</v>
      </c>
      <c r="L521">
        <v>0</v>
      </c>
      <c r="M521">
        <v>3857.7592500000001</v>
      </c>
    </row>
    <row r="522" spans="1:13" x14ac:dyDescent="0.35">
      <c r="A522" t="s">
        <v>14</v>
      </c>
      <c r="B522" t="s">
        <v>7</v>
      </c>
      <c r="C522" t="s">
        <v>11</v>
      </c>
      <c r="H522">
        <f>IF(B522="female", 0, 1)</f>
        <v>0</v>
      </c>
      <c r="I522">
        <f>IF(C522= "yes", 1, 0)</f>
        <v>0</v>
      </c>
      <c r="J522">
        <v>50</v>
      </c>
      <c r="K522">
        <v>27.36</v>
      </c>
      <c r="L522">
        <v>0</v>
      </c>
      <c r="M522">
        <v>25656.575260000001</v>
      </c>
    </row>
    <row r="523" spans="1:13" x14ac:dyDescent="0.35">
      <c r="A523" t="s">
        <v>12</v>
      </c>
      <c r="B523" t="s">
        <v>7</v>
      </c>
      <c r="C523" t="s">
        <v>11</v>
      </c>
      <c r="H523">
        <f>IF(B523="female", 0, 1)</f>
        <v>0</v>
      </c>
      <c r="I523">
        <f>IF(C523= "yes", 1, 0)</f>
        <v>0</v>
      </c>
      <c r="J523">
        <v>32</v>
      </c>
      <c r="K523">
        <v>44.22</v>
      </c>
      <c r="L523">
        <v>0</v>
      </c>
      <c r="M523">
        <v>3994.1777999999999</v>
      </c>
    </row>
    <row r="524" spans="1:13" x14ac:dyDescent="0.35">
      <c r="A524" t="s">
        <v>14</v>
      </c>
      <c r="B524" t="s">
        <v>7</v>
      </c>
      <c r="C524" t="s">
        <v>11</v>
      </c>
      <c r="H524">
        <f>IF(B524="female", 0, 1)</f>
        <v>0</v>
      </c>
      <c r="I524">
        <f>IF(C524= "yes", 1, 0)</f>
        <v>0</v>
      </c>
      <c r="J524">
        <v>51</v>
      </c>
      <c r="K524">
        <v>33.914999999999999</v>
      </c>
      <c r="L524">
        <v>0</v>
      </c>
      <c r="M524">
        <v>9866.3048500000004</v>
      </c>
    </row>
    <row r="525" spans="1:13" x14ac:dyDescent="0.35">
      <c r="A525" t="s">
        <v>12</v>
      </c>
      <c r="B525" t="s">
        <v>7</v>
      </c>
      <c r="C525" t="s">
        <v>11</v>
      </c>
      <c r="H525">
        <f>IF(B525="female", 0, 1)</f>
        <v>0</v>
      </c>
      <c r="I525">
        <f>IF(C525= "yes", 1, 0)</f>
        <v>0</v>
      </c>
      <c r="J525">
        <v>38</v>
      </c>
      <c r="K525">
        <v>37.729999999999997</v>
      </c>
      <c r="L525">
        <v>0</v>
      </c>
      <c r="M525">
        <v>5397.6166999999996</v>
      </c>
    </row>
    <row r="526" spans="1:13" x14ac:dyDescent="0.35">
      <c r="A526" t="s">
        <v>12</v>
      </c>
      <c r="B526" t="s">
        <v>10</v>
      </c>
      <c r="C526" t="s">
        <v>8</v>
      </c>
      <c r="H526">
        <f>IF(B526="female", 0, 1)</f>
        <v>1</v>
      </c>
      <c r="I526">
        <f>IF(C526= "yes", 1, 0)</f>
        <v>1</v>
      </c>
      <c r="J526">
        <v>42</v>
      </c>
      <c r="K526">
        <v>26.07</v>
      </c>
      <c r="L526">
        <v>1</v>
      </c>
      <c r="M526">
        <v>38245.593269999998</v>
      </c>
    </row>
    <row r="527" spans="1:13" x14ac:dyDescent="0.35">
      <c r="A527" t="s">
        <v>12</v>
      </c>
      <c r="B527" t="s">
        <v>7</v>
      </c>
      <c r="C527" t="s">
        <v>11</v>
      </c>
      <c r="H527">
        <f>IF(B527="female", 0, 1)</f>
        <v>0</v>
      </c>
      <c r="I527">
        <f>IF(C527= "yes", 1, 0)</f>
        <v>0</v>
      </c>
      <c r="J527">
        <v>18</v>
      </c>
      <c r="K527">
        <v>33.880000000000003</v>
      </c>
      <c r="L527">
        <v>0</v>
      </c>
      <c r="M527">
        <v>11482.63485</v>
      </c>
    </row>
    <row r="528" spans="1:13" x14ac:dyDescent="0.35">
      <c r="A528" t="s">
        <v>13</v>
      </c>
      <c r="B528" t="s">
        <v>7</v>
      </c>
      <c r="C528" t="s">
        <v>11</v>
      </c>
      <c r="H528">
        <f>IF(B528="female", 0, 1)</f>
        <v>0</v>
      </c>
      <c r="I528">
        <f>IF(C528= "yes", 1, 0)</f>
        <v>0</v>
      </c>
      <c r="J528">
        <v>19</v>
      </c>
      <c r="K528">
        <v>30.59</v>
      </c>
      <c r="L528">
        <v>2</v>
      </c>
      <c r="M528">
        <v>24059.680189999999</v>
      </c>
    </row>
    <row r="529" spans="1:13" x14ac:dyDescent="0.35">
      <c r="A529" t="s">
        <v>9</v>
      </c>
      <c r="B529" t="s">
        <v>7</v>
      </c>
      <c r="C529" t="s">
        <v>11</v>
      </c>
      <c r="H529">
        <f>IF(B529="female", 0, 1)</f>
        <v>0</v>
      </c>
      <c r="I529">
        <f>IF(C529= "yes", 1, 0)</f>
        <v>0</v>
      </c>
      <c r="J529">
        <v>51</v>
      </c>
      <c r="K529">
        <v>25.8</v>
      </c>
      <c r="L529">
        <v>1</v>
      </c>
      <c r="M529">
        <v>9861.0249999999996</v>
      </c>
    </row>
    <row r="530" spans="1:13" x14ac:dyDescent="0.35">
      <c r="A530" t="s">
        <v>14</v>
      </c>
      <c r="B530" t="s">
        <v>10</v>
      </c>
      <c r="C530" t="s">
        <v>11</v>
      </c>
      <c r="H530">
        <f>IF(B530="female", 0, 1)</f>
        <v>1</v>
      </c>
      <c r="I530">
        <f>IF(C530= "yes", 1, 0)</f>
        <v>0</v>
      </c>
      <c r="J530">
        <v>46</v>
      </c>
      <c r="K530">
        <v>39.424999999999997</v>
      </c>
      <c r="L530">
        <v>1</v>
      </c>
      <c r="M530">
        <v>8342.9087500000005</v>
      </c>
    </row>
    <row r="531" spans="1:13" x14ac:dyDescent="0.35">
      <c r="A531" t="s">
        <v>14</v>
      </c>
      <c r="B531" t="s">
        <v>10</v>
      </c>
      <c r="C531" t="s">
        <v>11</v>
      </c>
      <c r="H531">
        <f>IF(B531="female", 0, 1)</f>
        <v>1</v>
      </c>
      <c r="I531">
        <f>IF(C531= "yes", 1, 0)</f>
        <v>0</v>
      </c>
      <c r="J531">
        <v>18</v>
      </c>
      <c r="K531">
        <v>25.46</v>
      </c>
      <c r="L531">
        <v>0</v>
      </c>
      <c r="M531">
        <v>1708.0014000000001</v>
      </c>
    </row>
    <row r="532" spans="1:13" x14ac:dyDescent="0.35">
      <c r="A532" t="s">
        <v>12</v>
      </c>
      <c r="B532" t="s">
        <v>10</v>
      </c>
      <c r="C532" t="s">
        <v>8</v>
      </c>
      <c r="H532">
        <f>IF(B532="female", 0, 1)</f>
        <v>1</v>
      </c>
      <c r="I532">
        <f>IF(C532= "yes", 1, 0)</f>
        <v>1</v>
      </c>
      <c r="J532">
        <v>57</v>
      </c>
      <c r="K532">
        <v>42.13</v>
      </c>
      <c r="L532">
        <v>1</v>
      </c>
      <c r="M532">
        <v>48675.517699999997</v>
      </c>
    </row>
    <row r="533" spans="1:13" x14ac:dyDescent="0.35">
      <c r="A533" t="s">
        <v>14</v>
      </c>
      <c r="B533" t="s">
        <v>7</v>
      </c>
      <c r="C533" t="s">
        <v>11</v>
      </c>
      <c r="H533">
        <f>IF(B533="female", 0, 1)</f>
        <v>0</v>
      </c>
      <c r="I533">
        <f>IF(C533= "yes", 1, 0)</f>
        <v>0</v>
      </c>
      <c r="J533">
        <v>62</v>
      </c>
      <c r="K533">
        <v>31.73</v>
      </c>
      <c r="L533">
        <v>0</v>
      </c>
      <c r="M533">
        <v>14043.476699999999</v>
      </c>
    </row>
    <row r="534" spans="1:13" x14ac:dyDescent="0.35">
      <c r="A534" t="s">
        <v>12</v>
      </c>
      <c r="B534" t="s">
        <v>10</v>
      </c>
      <c r="C534" t="s">
        <v>11</v>
      </c>
      <c r="H534">
        <f>IF(B534="female", 0, 1)</f>
        <v>1</v>
      </c>
      <c r="I534">
        <f>IF(C534= "yes", 1, 0)</f>
        <v>0</v>
      </c>
      <c r="J534">
        <v>59</v>
      </c>
      <c r="K534">
        <v>29.7</v>
      </c>
      <c r="L534">
        <v>2</v>
      </c>
      <c r="M534">
        <v>12925.886</v>
      </c>
    </row>
    <row r="535" spans="1:13" x14ac:dyDescent="0.35">
      <c r="A535" t="s">
        <v>12</v>
      </c>
      <c r="B535" t="s">
        <v>10</v>
      </c>
      <c r="C535" t="s">
        <v>11</v>
      </c>
      <c r="H535">
        <f>IF(B535="female", 0, 1)</f>
        <v>1</v>
      </c>
      <c r="I535">
        <f>IF(C535= "yes", 1, 0)</f>
        <v>0</v>
      </c>
      <c r="J535">
        <v>37</v>
      </c>
      <c r="K535">
        <v>36.19</v>
      </c>
      <c r="L535">
        <v>0</v>
      </c>
      <c r="M535">
        <v>19214.705529999999</v>
      </c>
    </row>
    <row r="536" spans="1:13" x14ac:dyDescent="0.35">
      <c r="A536" t="s">
        <v>12</v>
      </c>
      <c r="B536" t="s">
        <v>10</v>
      </c>
      <c r="C536" t="s">
        <v>11</v>
      </c>
      <c r="H536">
        <f>IF(B536="female", 0, 1)</f>
        <v>1</v>
      </c>
      <c r="I536">
        <f>IF(C536= "yes", 1, 0)</f>
        <v>0</v>
      </c>
      <c r="J536">
        <v>64</v>
      </c>
      <c r="K536">
        <v>40.479999999999997</v>
      </c>
      <c r="L536">
        <v>0</v>
      </c>
      <c r="M536">
        <v>13831.1152</v>
      </c>
    </row>
    <row r="537" spans="1:13" x14ac:dyDescent="0.35">
      <c r="A537" t="s">
        <v>14</v>
      </c>
      <c r="B537" t="s">
        <v>10</v>
      </c>
      <c r="C537" t="s">
        <v>11</v>
      </c>
      <c r="H537">
        <f>IF(B537="female", 0, 1)</f>
        <v>1</v>
      </c>
      <c r="I537">
        <f>IF(C537= "yes", 1, 0)</f>
        <v>0</v>
      </c>
      <c r="J537">
        <v>38</v>
      </c>
      <c r="K537">
        <v>28.024999999999999</v>
      </c>
      <c r="L537">
        <v>1</v>
      </c>
      <c r="M537">
        <v>6067.1267500000004</v>
      </c>
    </row>
    <row r="538" spans="1:13" x14ac:dyDescent="0.35">
      <c r="A538" t="s">
        <v>9</v>
      </c>
      <c r="B538" t="s">
        <v>7</v>
      </c>
      <c r="C538" t="s">
        <v>11</v>
      </c>
      <c r="H538">
        <f>IF(B538="female", 0, 1)</f>
        <v>0</v>
      </c>
      <c r="I538">
        <f>IF(C538= "yes", 1, 0)</f>
        <v>0</v>
      </c>
      <c r="J538">
        <v>33</v>
      </c>
      <c r="K538">
        <v>38.9</v>
      </c>
      <c r="L538">
        <v>3</v>
      </c>
      <c r="M538">
        <v>5972.3779999999997</v>
      </c>
    </row>
    <row r="539" spans="1:13" x14ac:dyDescent="0.35">
      <c r="A539" t="s">
        <v>9</v>
      </c>
      <c r="B539" t="s">
        <v>7</v>
      </c>
      <c r="C539" t="s">
        <v>11</v>
      </c>
      <c r="H539">
        <f>IF(B539="female", 0, 1)</f>
        <v>0</v>
      </c>
      <c r="I539">
        <f>IF(C539= "yes", 1, 0)</f>
        <v>0</v>
      </c>
      <c r="J539">
        <v>46</v>
      </c>
      <c r="K539">
        <v>30.2</v>
      </c>
      <c r="L539">
        <v>2</v>
      </c>
      <c r="M539">
        <v>8825.0859999999993</v>
      </c>
    </row>
    <row r="540" spans="1:13" x14ac:dyDescent="0.35">
      <c r="A540" t="s">
        <v>12</v>
      </c>
      <c r="B540" t="s">
        <v>7</v>
      </c>
      <c r="C540" t="s">
        <v>11</v>
      </c>
      <c r="H540">
        <f>IF(B540="female", 0, 1)</f>
        <v>0</v>
      </c>
      <c r="I540">
        <f>IF(C540= "yes", 1, 0)</f>
        <v>0</v>
      </c>
      <c r="J540">
        <v>46</v>
      </c>
      <c r="K540">
        <v>28.05</v>
      </c>
      <c r="L540">
        <v>1</v>
      </c>
      <c r="M540">
        <v>8233.0974999999999</v>
      </c>
    </row>
    <row r="541" spans="1:13" x14ac:dyDescent="0.35">
      <c r="A541" t="s">
        <v>12</v>
      </c>
      <c r="B541" t="s">
        <v>10</v>
      </c>
      <c r="C541" t="s">
        <v>11</v>
      </c>
      <c r="H541">
        <f>IF(B541="female", 0, 1)</f>
        <v>1</v>
      </c>
      <c r="I541">
        <f>IF(C541= "yes", 1, 0)</f>
        <v>0</v>
      </c>
      <c r="J541">
        <v>53</v>
      </c>
      <c r="K541">
        <v>31.35</v>
      </c>
      <c r="L541">
        <v>0</v>
      </c>
      <c r="M541">
        <v>27346.04207</v>
      </c>
    </row>
    <row r="542" spans="1:13" x14ac:dyDescent="0.35">
      <c r="A542" t="s">
        <v>9</v>
      </c>
      <c r="B542" t="s">
        <v>7</v>
      </c>
      <c r="C542" t="s">
        <v>11</v>
      </c>
      <c r="H542">
        <f>IF(B542="female", 0, 1)</f>
        <v>0</v>
      </c>
      <c r="I542">
        <f>IF(C542= "yes", 1, 0)</f>
        <v>0</v>
      </c>
      <c r="J542">
        <v>34</v>
      </c>
      <c r="K542">
        <v>38</v>
      </c>
      <c r="L542">
        <v>3</v>
      </c>
      <c r="M542">
        <v>6196.4480000000003</v>
      </c>
    </row>
    <row r="543" spans="1:13" x14ac:dyDescent="0.35">
      <c r="A543" t="s">
        <v>12</v>
      </c>
      <c r="B543" t="s">
        <v>7</v>
      </c>
      <c r="C543" t="s">
        <v>11</v>
      </c>
      <c r="H543">
        <f>IF(B543="female", 0, 1)</f>
        <v>0</v>
      </c>
      <c r="I543">
        <f>IF(C543= "yes", 1, 0)</f>
        <v>0</v>
      </c>
      <c r="J543">
        <v>20</v>
      </c>
      <c r="K543">
        <v>31.79</v>
      </c>
      <c r="L543">
        <v>2</v>
      </c>
      <c r="M543">
        <v>3056.3881000000001</v>
      </c>
    </row>
    <row r="544" spans="1:13" x14ac:dyDescent="0.35">
      <c r="A544" t="s">
        <v>12</v>
      </c>
      <c r="B544" t="s">
        <v>7</v>
      </c>
      <c r="C544" t="s">
        <v>11</v>
      </c>
      <c r="H544">
        <f>IF(B544="female", 0, 1)</f>
        <v>0</v>
      </c>
      <c r="I544">
        <f>IF(C544= "yes", 1, 0)</f>
        <v>0</v>
      </c>
      <c r="J544">
        <v>63</v>
      </c>
      <c r="K544">
        <v>36.299999999999997</v>
      </c>
      <c r="L544">
        <v>0</v>
      </c>
      <c r="M544">
        <v>13887.204</v>
      </c>
    </row>
    <row r="545" spans="1:13" x14ac:dyDescent="0.35">
      <c r="A545" t="s">
        <v>12</v>
      </c>
      <c r="B545" t="s">
        <v>7</v>
      </c>
      <c r="C545" t="s">
        <v>8</v>
      </c>
      <c r="H545">
        <f>IF(B545="female", 0, 1)</f>
        <v>0</v>
      </c>
      <c r="I545">
        <f>IF(C545= "yes", 1, 0)</f>
        <v>1</v>
      </c>
      <c r="J545">
        <v>54</v>
      </c>
      <c r="K545">
        <v>47.41</v>
      </c>
      <c r="L545">
        <v>0</v>
      </c>
      <c r="M545">
        <v>63770.428010000003</v>
      </c>
    </row>
    <row r="546" spans="1:13" x14ac:dyDescent="0.35">
      <c r="A546" t="s">
        <v>13</v>
      </c>
      <c r="B546" t="s">
        <v>10</v>
      </c>
      <c r="C546" t="s">
        <v>11</v>
      </c>
      <c r="H546">
        <f>IF(B546="female", 0, 1)</f>
        <v>1</v>
      </c>
      <c r="I546">
        <f>IF(C546= "yes", 1, 0)</f>
        <v>0</v>
      </c>
      <c r="J546">
        <v>54</v>
      </c>
      <c r="K546">
        <v>30.21</v>
      </c>
      <c r="L546">
        <v>0</v>
      </c>
      <c r="M546">
        <v>10231.499900000001</v>
      </c>
    </row>
    <row r="547" spans="1:13" x14ac:dyDescent="0.35">
      <c r="A547" t="s">
        <v>13</v>
      </c>
      <c r="B547" t="s">
        <v>10</v>
      </c>
      <c r="C547" t="s">
        <v>8</v>
      </c>
      <c r="H547">
        <f>IF(B547="female", 0, 1)</f>
        <v>1</v>
      </c>
      <c r="I547">
        <f>IF(C547= "yes", 1, 0)</f>
        <v>1</v>
      </c>
      <c r="J547">
        <v>49</v>
      </c>
      <c r="K547">
        <v>25.84</v>
      </c>
      <c r="L547">
        <v>2</v>
      </c>
      <c r="M547">
        <v>23807.240600000001</v>
      </c>
    </row>
    <row r="548" spans="1:13" x14ac:dyDescent="0.35">
      <c r="A548" t="s">
        <v>14</v>
      </c>
      <c r="B548" t="s">
        <v>10</v>
      </c>
      <c r="C548" t="s">
        <v>11</v>
      </c>
      <c r="H548">
        <f>IF(B548="female", 0, 1)</f>
        <v>1</v>
      </c>
      <c r="I548">
        <f>IF(C548= "yes", 1, 0)</f>
        <v>0</v>
      </c>
      <c r="J548">
        <v>28</v>
      </c>
      <c r="K548">
        <v>35.435000000000002</v>
      </c>
      <c r="L548">
        <v>0</v>
      </c>
      <c r="M548">
        <v>3268.84665</v>
      </c>
    </row>
    <row r="549" spans="1:13" x14ac:dyDescent="0.35">
      <c r="A549" t="s">
        <v>9</v>
      </c>
      <c r="B549" t="s">
        <v>7</v>
      </c>
      <c r="C549" t="s">
        <v>11</v>
      </c>
      <c r="H549">
        <f>IF(B549="female", 0, 1)</f>
        <v>0</v>
      </c>
      <c r="I549">
        <f>IF(C549= "yes", 1, 0)</f>
        <v>0</v>
      </c>
      <c r="J549">
        <v>54</v>
      </c>
      <c r="K549">
        <v>46.7</v>
      </c>
      <c r="L549">
        <v>2</v>
      </c>
      <c r="M549">
        <v>11538.421</v>
      </c>
    </row>
    <row r="550" spans="1:13" x14ac:dyDescent="0.35">
      <c r="A550" t="s">
        <v>14</v>
      </c>
      <c r="B550" t="s">
        <v>7</v>
      </c>
      <c r="C550" t="s">
        <v>11</v>
      </c>
      <c r="H550">
        <f>IF(B550="female", 0, 1)</f>
        <v>0</v>
      </c>
      <c r="I550">
        <f>IF(C550= "yes", 1, 0)</f>
        <v>0</v>
      </c>
      <c r="J550">
        <v>25</v>
      </c>
      <c r="K550">
        <v>28.594999999999999</v>
      </c>
      <c r="L550">
        <v>0</v>
      </c>
      <c r="M550">
        <v>3213.6220499999999</v>
      </c>
    </row>
    <row r="551" spans="1:13" x14ac:dyDescent="0.35">
      <c r="A551" t="s">
        <v>12</v>
      </c>
      <c r="B551" t="s">
        <v>7</v>
      </c>
      <c r="C551" t="s">
        <v>8</v>
      </c>
      <c r="H551">
        <f>IF(B551="female", 0, 1)</f>
        <v>0</v>
      </c>
      <c r="I551">
        <f>IF(C551= "yes", 1, 0)</f>
        <v>1</v>
      </c>
      <c r="J551">
        <v>43</v>
      </c>
      <c r="K551">
        <v>46.2</v>
      </c>
      <c r="L551">
        <v>0</v>
      </c>
      <c r="M551">
        <v>45863.205000000002</v>
      </c>
    </row>
    <row r="552" spans="1:13" x14ac:dyDescent="0.35">
      <c r="A552" t="s">
        <v>9</v>
      </c>
      <c r="B552" t="s">
        <v>10</v>
      </c>
      <c r="C552" t="s">
        <v>11</v>
      </c>
      <c r="H552">
        <f>IF(B552="female", 0, 1)</f>
        <v>1</v>
      </c>
      <c r="I552">
        <f>IF(C552= "yes", 1, 0)</f>
        <v>0</v>
      </c>
      <c r="J552">
        <v>63</v>
      </c>
      <c r="K552">
        <v>30.8</v>
      </c>
      <c r="L552">
        <v>0</v>
      </c>
      <c r="M552">
        <v>13390.558999999999</v>
      </c>
    </row>
    <row r="553" spans="1:13" x14ac:dyDescent="0.35">
      <c r="A553" t="s">
        <v>12</v>
      </c>
      <c r="B553" t="s">
        <v>7</v>
      </c>
      <c r="C553" t="s">
        <v>11</v>
      </c>
      <c r="H553">
        <f>IF(B553="female", 0, 1)</f>
        <v>0</v>
      </c>
      <c r="I553">
        <f>IF(C553= "yes", 1, 0)</f>
        <v>0</v>
      </c>
      <c r="J553">
        <v>32</v>
      </c>
      <c r="K553">
        <v>28.93</v>
      </c>
      <c r="L553">
        <v>0</v>
      </c>
      <c r="M553">
        <v>3972.9247</v>
      </c>
    </row>
    <row r="554" spans="1:13" x14ac:dyDescent="0.35">
      <c r="A554" t="s">
        <v>9</v>
      </c>
      <c r="B554" t="s">
        <v>10</v>
      </c>
      <c r="C554" t="s">
        <v>11</v>
      </c>
      <c r="H554">
        <f>IF(B554="female", 0, 1)</f>
        <v>1</v>
      </c>
      <c r="I554">
        <f>IF(C554= "yes", 1, 0)</f>
        <v>0</v>
      </c>
      <c r="J554">
        <v>62</v>
      </c>
      <c r="K554">
        <v>21.4</v>
      </c>
      <c r="L554">
        <v>0</v>
      </c>
      <c r="M554">
        <v>12957.118</v>
      </c>
    </row>
    <row r="555" spans="1:13" x14ac:dyDescent="0.35">
      <c r="A555" t="s">
        <v>13</v>
      </c>
      <c r="B555" t="s">
        <v>7</v>
      </c>
      <c r="C555" t="s">
        <v>11</v>
      </c>
      <c r="H555">
        <f>IF(B555="female", 0, 1)</f>
        <v>0</v>
      </c>
      <c r="I555">
        <f>IF(C555= "yes", 1, 0)</f>
        <v>0</v>
      </c>
      <c r="J555">
        <v>52</v>
      </c>
      <c r="K555">
        <v>31.73</v>
      </c>
      <c r="L555">
        <v>2</v>
      </c>
      <c r="M555">
        <v>11187.6567</v>
      </c>
    </row>
    <row r="556" spans="1:13" x14ac:dyDescent="0.35">
      <c r="A556" t="s">
        <v>14</v>
      </c>
      <c r="B556" t="s">
        <v>7</v>
      </c>
      <c r="C556" t="s">
        <v>11</v>
      </c>
      <c r="H556">
        <f>IF(B556="female", 0, 1)</f>
        <v>0</v>
      </c>
      <c r="I556">
        <f>IF(C556= "yes", 1, 0)</f>
        <v>0</v>
      </c>
      <c r="J556">
        <v>25</v>
      </c>
      <c r="K556">
        <v>41.325000000000003</v>
      </c>
      <c r="L556">
        <v>0</v>
      </c>
      <c r="M556">
        <v>17878.900679999999</v>
      </c>
    </row>
    <row r="557" spans="1:13" x14ac:dyDescent="0.35">
      <c r="A557" t="s">
        <v>9</v>
      </c>
      <c r="B557" t="s">
        <v>10</v>
      </c>
      <c r="C557" t="s">
        <v>11</v>
      </c>
      <c r="H557">
        <f>IF(B557="female", 0, 1)</f>
        <v>1</v>
      </c>
      <c r="I557">
        <f>IF(C557= "yes", 1, 0)</f>
        <v>0</v>
      </c>
      <c r="J557">
        <v>28</v>
      </c>
      <c r="K557">
        <v>23.8</v>
      </c>
      <c r="L557">
        <v>2</v>
      </c>
      <c r="M557">
        <v>3847.674</v>
      </c>
    </row>
    <row r="558" spans="1:13" x14ac:dyDescent="0.35">
      <c r="A558" t="s">
        <v>14</v>
      </c>
      <c r="B558" t="s">
        <v>10</v>
      </c>
      <c r="C558" t="s">
        <v>11</v>
      </c>
      <c r="H558">
        <f>IF(B558="female", 0, 1)</f>
        <v>1</v>
      </c>
      <c r="I558">
        <f>IF(C558= "yes", 1, 0)</f>
        <v>0</v>
      </c>
      <c r="J558">
        <v>46</v>
      </c>
      <c r="K558">
        <v>33.44</v>
      </c>
      <c r="L558">
        <v>1</v>
      </c>
      <c r="M558">
        <v>8334.5895999999993</v>
      </c>
    </row>
    <row r="559" spans="1:13" x14ac:dyDescent="0.35">
      <c r="A559" t="s">
        <v>12</v>
      </c>
      <c r="B559" t="s">
        <v>10</v>
      </c>
      <c r="C559" t="s">
        <v>11</v>
      </c>
      <c r="H559">
        <f>IF(B559="female", 0, 1)</f>
        <v>1</v>
      </c>
      <c r="I559">
        <f>IF(C559= "yes", 1, 0)</f>
        <v>0</v>
      </c>
      <c r="J559">
        <v>34</v>
      </c>
      <c r="K559">
        <v>34.21</v>
      </c>
      <c r="L559">
        <v>0</v>
      </c>
      <c r="M559">
        <v>3935.1799000000001</v>
      </c>
    </row>
    <row r="560" spans="1:13" x14ac:dyDescent="0.35">
      <c r="A560" t="s">
        <v>13</v>
      </c>
      <c r="B560" t="s">
        <v>7</v>
      </c>
      <c r="C560" t="s">
        <v>8</v>
      </c>
      <c r="H560">
        <f>IF(B560="female", 0, 1)</f>
        <v>0</v>
      </c>
      <c r="I560">
        <f>IF(C560= "yes", 1, 0)</f>
        <v>1</v>
      </c>
      <c r="J560">
        <v>35</v>
      </c>
      <c r="K560">
        <v>34.104999999999997</v>
      </c>
      <c r="L560">
        <v>3</v>
      </c>
      <c r="M560">
        <v>39983.425949999997</v>
      </c>
    </row>
    <row r="561" spans="1:13" x14ac:dyDescent="0.35">
      <c r="A561" t="s">
        <v>13</v>
      </c>
      <c r="B561" t="s">
        <v>10</v>
      </c>
      <c r="C561" t="s">
        <v>11</v>
      </c>
      <c r="H561">
        <f>IF(B561="female", 0, 1)</f>
        <v>1</v>
      </c>
      <c r="I561">
        <f>IF(C561= "yes", 1, 0)</f>
        <v>0</v>
      </c>
      <c r="J561">
        <v>19</v>
      </c>
      <c r="K561">
        <v>35.53</v>
      </c>
      <c r="L561">
        <v>0</v>
      </c>
      <c r="M561">
        <v>1646.4296999999999</v>
      </c>
    </row>
    <row r="562" spans="1:13" x14ac:dyDescent="0.35">
      <c r="A562" t="s">
        <v>13</v>
      </c>
      <c r="B562" t="s">
        <v>7</v>
      </c>
      <c r="C562" t="s">
        <v>11</v>
      </c>
      <c r="H562">
        <f>IF(B562="female", 0, 1)</f>
        <v>0</v>
      </c>
      <c r="I562">
        <f>IF(C562= "yes", 1, 0)</f>
        <v>0</v>
      </c>
      <c r="J562">
        <v>46</v>
      </c>
      <c r="K562">
        <v>19.95</v>
      </c>
      <c r="L562">
        <v>2</v>
      </c>
      <c r="M562">
        <v>9193.8384999999998</v>
      </c>
    </row>
    <row r="563" spans="1:13" x14ac:dyDescent="0.35">
      <c r="A563" t="s">
        <v>14</v>
      </c>
      <c r="B563" t="s">
        <v>7</v>
      </c>
      <c r="C563" t="s">
        <v>11</v>
      </c>
      <c r="H563">
        <f>IF(B563="female", 0, 1)</f>
        <v>0</v>
      </c>
      <c r="I563">
        <f>IF(C563= "yes", 1, 0)</f>
        <v>0</v>
      </c>
      <c r="J563">
        <v>54</v>
      </c>
      <c r="K563">
        <v>32.68</v>
      </c>
      <c r="L563">
        <v>0</v>
      </c>
      <c r="M563">
        <v>10923.933199999999</v>
      </c>
    </row>
    <row r="564" spans="1:13" x14ac:dyDescent="0.35">
      <c r="A564" t="s">
        <v>9</v>
      </c>
      <c r="B564" t="s">
        <v>10</v>
      </c>
      <c r="C564" t="s">
        <v>11</v>
      </c>
      <c r="H564">
        <f>IF(B564="female", 0, 1)</f>
        <v>1</v>
      </c>
      <c r="I564">
        <f>IF(C564= "yes", 1, 0)</f>
        <v>0</v>
      </c>
      <c r="J564">
        <v>27</v>
      </c>
      <c r="K564">
        <v>30.5</v>
      </c>
      <c r="L564">
        <v>0</v>
      </c>
      <c r="M564">
        <v>2494.0219999999999</v>
      </c>
    </row>
    <row r="565" spans="1:13" x14ac:dyDescent="0.35">
      <c r="A565" t="s">
        <v>12</v>
      </c>
      <c r="B565" t="s">
        <v>10</v>
      </c>
      <c r="C565" t="s">
        <v>11</v>
      </c>
      <c r="H565">
        <f>IF(B565="female", 0, 1)</f>
        <v>1</v>
      </c>
      <c r="I565">
        <f>IF(C565= "yes", 1, 0)</f>
        <v>0</v>
      </c>
      <c r="J565">
        <v>50</v>
      </c>
      <c r="K565">
        <v>44.77</v>
      </c>
      <c r="L565">
        <v>1</v>
      </c>
      <c r="M565">
        <v>9058.7302999999993</v>
      </c>
    </row>
    <row r="566" spans="1:13" x14ac:dyDescent="0.35">
      <c r="A566" t="s">
        <v>12</v>
      </c>
      <c r="B566" t="s">
        <v>7</v>
      </c>
      <c r="C566" t="s">
        <v>11</v>
      </c>
      <c r="H566">
        <f>IF(B566="female", 0, 1)</f>
        <v>0</v>
      </c>
      <c r="I566">
        <f>IF(C566= "yes", 1, 0)</f>
        <v>0</v>
      </c>
      <c r="J566">
        <v>18</v>
      </c>
      <c r="K566">
        <v>32.119999999999997</v>
      </c>
      <c r="L566">
        <v>2</v>
      </c>
      <c r="M566">
        <v>2801.2588000000001</v>
      </c>
    </row>
    <row r="567" spans="1:13" x14ac:dyDescent="0.35">
      <c r="A567" t="s">
        <v>13</v>
      </c>
      <c r="B567" t="s">
        <v>7</v>
      </c>
      <c r="C567" t="s">
        <v>11</v>
      </c>
      <c r="H567">
        <f>IF(B567="female", 0, 1)</f>
        <v>0</v>
      </c>
      <c r="I567">
        <f>IF(C567= "yes", 1, 0)</f>
        <v>0</v>
      </c>
      <c r="J567">
        <v>19</v>
      </c>
      <c r="K567">
        <v>30.495000000000001</v>
      </c>
      <c r="L567">
        <v>0</v>
      </c>
      <c r="M567">
        <v>2128.4310500000001</v>
      </c>
    </row>
    <row r="568" spans="1:13" x14ac:dyDescent="0.35">
      <c r="A568" t="s">
        <v>13</v>
      </c>
      <c r="B568" t="s">
        <v>7</v>
      </c>
      <c r="C568" t="s">
        <v>11</v>
      </c>
      <c r="H568">
        <f>IF(B568="female", 0, 1)</f>
        <v>0</v>
      </c>
      <c r="I568">
        <f>IF(C568= "yes", 1, 0)</f>
        <v>0</v>
      </c>
      <c r="J568">
        <v>38</v>
      </c>
      <c r="K568">
        <v>40.564999999999998</v>
      </c>
      <c r="L568">
        <v>1</v>
      </c>
      <c r="M568">
        <v>6373.55735</v>
      </c>
    </row>
    <row r="569" spans="1:13" x14ac:dyDescent="0.35">
      <c r="A569" t="s">
        <v>13</v>
      </c>
      <c r="B569" t="s">
        <v>10</v>
      </c>
      <c r="C569" t="s">
        <v>11</v>
      </c>
      <c r="H569">
        <f>IF(B569="female", 0, 1)</f>
        <v>1</v>
      </c>
      <c r="I569">
        <f>IF(C569= "yes", 1, 0)</f>
        <v>0</v>
      </c>
      <c r="J569">
        <v>41</v>
      </c>
      <c r="K569">
        <v>30.59</v>
      </c>
      <c r="L569">
        <v>2</v>
      </c>
      <c r="M569">
        <v>7256.7231000000002</v>
      </c>
    </row>
    <row r="570" spans="1:13" x14ac:dyDescent="0.35">
      <c r="A570" t="s">
        <v>9</v>
      </c>
      <c r="B570" t="s">
        <v>7</v>
      </c>
      <c r="C570" t="s">
        <v>11</v>
      </c>
      <c r="H570">
        <f>IF(B570="female", 0, 1)</f>
        <v>0</v>
      </c>
      <c r="I570">
        <f>IF(C570= "yes", 1, 0)</f>
        <v>0</v>
      </c>
      <c r="J570">
        <v>49</v>
      </c>
      <c r="K570">
        <v>31.9</v>
      </c>
      <c r="L570">
        <v>5</v>
      </c>
      <c r="M570">
        <v>11552.904</v>
      </c>
    </row>
    <row r="571" spans="1:13" x14ac:dyDescent="0.35">
      <c r="A571" t="s">
        <v>13</v>
      </c>
      <c r="B571" t="s">
        <v>10</v>
      </c>
      <c r="C571" t="s">
        <v>8</v>
      </c>
      <c r="H571">
        <f>IF(B571="female", 0, 1)</f>
        <v>1</v>
      </c>
      <c r="I571">
        <f>IF(C571= "yes", 1, 0)</f>
        <v>1</v>
      </c>
      <c r="J571">
        <v>48</v>
      </c>
      <c r="K571">
        <v>40.564999999999998</v>
      </c>
      <c r="L571">
        <v>2</v>
      </c>
      <c r="M571">
        <v>45702.022349999999</v>
      </c>
    </row>
    <row r="572" spans="1:13" x14ac:dyDescent="0.35">
      <c r="A572" t="s">
        <v>9</v>
      </c>
      <c r="B572" t="s">
        <v>7</v>
      </c>
      <c r="C572" t="s">
        <v>11</v>
      </c>
      <c r="H572">
        <f>IF(B572="female", 0, 1)</f>
        <v>0</v>
      </c>
      <c r="I572">
        <f>IF(C572= "yes", 1, 0)</f>
        <v>0</v>
      </c>
      <c r="J572">
        <v>31</v>
      </c>
      <c r="K572">
        <v>29.1</v>
      </c>
      <c r="L572">
        <v>0</v>
      </c>
      <c r="M572">
        <v>3761.2919999999999</v>
      </c>
    </row>
    <row r="573" spans="1:13" x14ac:dyDescent="0.35">
      <c r="A573" t="s">
        <v>12</v>
      </c>
      <c r="B573" t="s">
        <v>7</v>
      </c>
      <c r="C573" t="s">
        <v>11</v>
      </c>
      <c r="H573">
        <f>IF(B573="female", 0, 1)</f>
        <v>0</v>
      </c>
      <c r="I573">
        <f>IF(C573= "yes", 1, 0)</f>
        <v>0</v>
      </c>
      <c r="J573">
        <v>18</v>
      </c>
      <c r="K573">
        <v>37.29</v>
      </c>
      <c r="L573">
        <v>1</v>
      </c>
      <c r="M573">
        <v>2219.4450999999999</v>
      </c>
    </row>
    <row r="574" spans="1:13" x14ac:dyDescent="0.35">
      <c r="A574" t="s">
        <v>12</v>
      </c>
      <c r="B574" t="s">
        <v>7</v>
      </c>
      <c r="C574" t="s">
        <v>11</v>
      </c>
      <c r="H574">
        <f>IF(B574="female", 0, 1)</f>
        <v>0</v>
      </c>
      <c r="I574">
        <f>IF(C574= "yes", 1, 0)</f>
        <v>0</v>
      </c>
      <c r="J574">
        <v>30</v>
      </c>
      <c r="K574">
        <v>43.12</v>
      </c>
      <c r="L574">
        <v>2</v>
      </c>
      <c r="M574">
        <v>4753.6368000000002</v>
      </c>
    </row>
    <row r="575" spans="1:13" x14ac:dyDescent="0.35">
      <c r="A575" t="s">
        <v>14</v>
      </c>
      <c r="B575" t="s">
        <v>7</v>
      </c>
      <c r="C575" t="s">
        <v>11</v>
      </c>
      <c r="H575">
        <f>IF(B575="female", 0, 1)</f>
        <v>0</v>
      </c>
      <c r="I575">
        <f>IF(C575= "yes", 1, 0)</f>
        <v>0</v>
      </c>
      <c r="J575">
        <v>62</v>
      </c>
      <c r="K575">
        <v>36.86</v>
      </c>
      <c r="L575">
        <v>1</v>
      </c>
      <c r="M575">
        <v>31620.001059999999</v>
      </c>
    </row>
    <row r="576" spans="1:13" x14ac:dyDescent="0.35">
      <c r="A576" t="s">
        <v>14</v>
      </c>
      <c r="B576" t="s">
        <v>7</v>
      </c>
      <c r="C576" t="s">
        <v>11</v>
      </c>
      <c r="H576">
        <f>IF(B576="female", 0, 1)</f>
        <v>0</v>
      </c>
      <c r="I576">
        <f>IF(C576= "yes", 1, 0)</f>
        <v>0</v>
      </c>
      <c r="J576">
        <v>57</v>
      </c>
      <c r="K576">
        <v>34.295000000000002</v>
      </c>
      <c r="L576">
        <v>2</v>
      </c>
      <c r="M576">
        <v>13224.057049999999</v>
      </c>
    </row>
    <row r="577" spans="1:13" x14ac:dyDescent="0.35">
      <c r="A577" t="s">
        <v>13</v>
      </c>
      <c r="B577" t="s">
        <v>7</v>
      </c>
      <c r="C577" t="s">
        <v>11</v>
      </c>
      <c r="H577">
        <f>IF(B577="female", 0, 1)</f>
        <v>0</v>
      </c>
      <c r="I577">
        <f>IF(C577= "yes", 1, 0)</f>
        <v>0</v>
      </c>
      <c r="J577">
        <v>58</v>
      </c>
      <c r="K577">
        <v>27.17</v>
      </c>
      <c r="L577">
        <v>0</v>
      </c>
      <c r="M577">
        <v>12222.898300000001</v>
      </c>
    </row>
    <row r="578" spans="1:13" x14ac:dyDescent="0.35">
      <c r="A578" t="s">
        <v>12</v>
      </c>
      <c r="B578" t="s">
        <v>10</v>
      </c>
      <c r="C578" t="s">
        <v>11</v>
      </c>
      <c r="H578">
        <f>IF(B578="female", 0, 1)</f>
        <v>1</v>
      </c>
      <c r="I578">
        <f>IF(C578= "yes", 1, 0)</f>
        <v>0</v>
      </c>
      <c r="J578">
        <v>22</v>
      </c>
      <c r="K578">
        <v>26.84</v>
      </c>
      <c r="L578">
        <v>0</v>
      </c>
      <c r="M578">
        <v>1664.9996000000001</v>
      </c>
    </row>
    <row r="579" spans="1:13" x14ac:dyDescent="0.35">
      <c r="A579" t="s">
        <v>14</v>
      </c>
      <c r="B579" t="s">
        <v>7</v>
      </c>
      <c r="C579" t="s">
        <v>8</v>
      </c>
      <c r="H579">
        <f>IF(B579="female", 0, 1)</f>
        <v>0</v>
      </c>
      <c r="I579">
        <f>IF(C579= "yes", 1, 0)</f>
        <v>1</v>
      </c>
      <c r="J579">
        <v>31</v>
      </c>
      <c r="K579">
        <v>38.094999999999999</v>
      </c>
      <c r="L579">
        <v>1</v>
      </c>
      <c r="M579">
        <v>58571.074480000003</v>
      </c>
    </row>
    <row r="580" spans="1:13" x14ac:dyDescent="0.35">
      <c r="A580" t="s">
        <v>9</v>
      </c>
      <c r="B580" t="s">
        <v>10</v>
      </c>
      <c r="C580" t="s">
        <v>11</v>
      </c>
      <c r="H580">
        <f>IF(B580="female", 0, 1)</f>
        <v>1</v>
      </c>
      <c r="I580">
        <f>IF(C580= "yes", 1, 0)</f>
        <v>0</v>
      </c>
      <c r="J580">
        <v>52</v>
      </c>
      <c r="K580">
        <v>30.2</v>
      </c>
      <c r="L580">
        <v>1</v>
      </c>
      <c r="M580">
        <v>9724.5300000000007</v>
      </c>
    </row>
    <row r="581" spans="1:13" x14ac:dyDescent="0.35">
      <c r="A581" t="s">
        <v>14</v>
      </c>
      <c r="B581" t="s">
        <v>7</v>
      </c>
      <c r="C581" t="s">
        <v>11</v>
      </c>
      <c r="H581">
        <f>IF(B581="female", 0, 1)</f>
        <v>0</v>
      </c>
      <c r="I581">
        <f>IF(C581= "yes", 1, 0)</f>
        <v>0</v>
      </c>
      <c r="J581">
        <v>25</v>
      </c>
      <c r="K581">
        <v>23.465</v>
      </c>
      <c r="L581">
        <v>0</v>
      </c>
      <c r="M581">
        <v>3206.4913499999998</v>
      </c>
    </row>
    <row r="582" spans="1:13" x14ac:dyDescent="0.35">
      <c r="A582" t="s">
        <v>14</v>
      </c>
      <c r="B582" t="s">
        <v>10</v>
      </c>
      <c r="C582" t="s">
        <v>11</v>
      </c>
      <c r="H582">
        <f>IF(B582="female", 0, 1)</f>
        <v>1</v>
      </c>
      <c r="I582">
        <f>IF(C582= "yes", 1, 0)</f>
        <v>0</v>
      </c>
      <c r="J582">
        <v>59</v>
      </c>
      <c r="K582">
        <v>25.46</v>
      </c>
      <c r="L582">
        <v>1</v>
      </c>
      <c r="M582">
        <v>12913.992399999999</v>
      </c>
    </row>
    <row r="583" spans="1:13" x14ac:dyDescent="0.35">
      <c r="A583" t="s">
        <v>13</v>
      </c>
      <c r="B583" t="s">
        <v>10</v>
      </c>
      <c r="C583" t="s">
        <v>11</v>
      </c>
      <c r="H583">
        <f>IF(B583="female", 0, 1)</f>
        <v>1</v>
      </c>
      <c r="I583">
        <f>IF(C583= "yes", 1, 0)</f>
        <v>0</v>
      </c>
      <c r="J583">
        <v>19</v>
      </c>
      <c r="K583">
        <v>30.59</v>
      </c>
      <c r="L583">
        <v>0</v>
      </c>
      <c r="M583">
        <v>1639.5631000000001</v>
      </c>
    </row>
    <row r="584" spans="1:13" x14ac:dyDescent="0.35">
      <c r="A584" t="s">
        <v>12</v>
      </c>
      <c r="B584" t="s">
        <v>10</v>
      </c>
      <c r="C584" t="s">
        <v>11</v>
      </c>
      <c r="H584">
        <f>IF(B584="female", 0, 1)</f>
        <v>1</v>
      </c>
      <c r="I584">
        <f>IF(C584= "yes", 1, 0)</f>
        <v>0</v>
      </c>
      <c r="J584">
        <v>39</v>
      </c>
      <c r="K584">
        <v>45.43</v>
      </c>
      <c r="L584">
        <v>2</v>
      </c>
      <c r="M584">
        <v>6356.2707</v>
      </c>
    </row>
    <row r="585" spans="1:13" x14ac:dyDescent="0.35">
      <c r="A585" t="s">
        <v>12</v>
      </c>
      <c r="B585" t="s">
        <v>7</v>
      </c>
      <c r="C585" t="s">
        <v>11</v>
      </c>
      <c r="H585">
        <f>IF(B585="female", 0, 1)</f>
        <v>0</v>
      </c>
      <c r="I585">
        <f>IF(C585= "yes", 1, 0)</f>
        <v>0</v>
      </c>
      <c r="J585">
        <v>32</v>
      </c>
      <c r="K585">
        <v>23.65</v>
      </c>
      <c r="L585">
        <v>1</v>
      </c>
      <c r="M585">
        <v>17626.239509999999</v>
      </c>
    </row>
    <row r="586" spans="1:13" x14ac:dyDescent="0.35">
      <c r="A586" t="s">
        <v>9</v>
      </c>
      <c r="B586" t="s">
        <v>10</v>
      </c>
      <c r="C586" t="s">
        <v>11</v>
      </c>
      <c r="H586">
        <f>IF(B586="female", 0, 1)</f>
        <v>1</v>
      </c>
      <c r="I586">
        <f>IF(C586= "yes", 1, 0)</f>
        <v>0</v>
      </c>
      <c r="J586">
        <v>19</v>
      </c>
      <c r="K586">
        <v>20.7</v>
      </c>
      <c r="L586">
        <v>0</v>
      </c>
      <c r="M586">
        <v>1242.816</v>
      </c>
    </row>
    <row r="587" spans="1:13" x14ac:dyDescent="0.35">
      <c r="A587" t="s">
        <v>12</v>
      </c>
      <c r="B587" t="s">
        <v>7</v>
      </c>
      <c r="C587" t="s">
        <v>11</v>
      </c>
      <c r="H587">
        <f>IF(B587="female", 0, 1)</f>
        <v>0</v>
      </c>
      <c r="I587">
        <f>IF(C587= "yes", 1, 0)</f>
        <v>0</v>
      </c>
      <c r="J587">
        <v>33</v>
      </c>
      <c r="K587">
        <v>28.27</v>
      </c>
      <c r="L587">
        <v>1</v>
      </c>
      <c r="M587">
        <v>4779.6022999999996</v>
      </c>
    </row>
    <row r="588" spans="1:13" x14ac:dyDescent="0.35">
      <c r="A588" t="s">
        <v>14</v>
      </c>
      <c r="B588" t="s">
        <v>10</v>
      </c>
      <c r="C588" t="s">
        <v>11</v>
      </c>
      <c r="H588">
        <f>IF(B588="female", 0, 1)</f>
        <v>1</v>
      </c>
      <c r="I588">
        <f>IF(C588= "yes", 1, 0)</f>
        <v>0</v>
      </c>
      <c r="J588">
        <v>21</v>
      </c>
      <c r="K588">
        <v>20.234999999999999</v>
      </c>
      <c r="L588">
        <v>3</v>
      </c>
      <c r="M588">
        <v>3861.2096499999998</v>
      </c>
    </row>
    <row r="589" spans="1:13" x14ac:dyDescent="0.35">
      <c r="A589" t="s">
        <v>13</v>
      </c>
      <c r="B589" t="s">
        <v>7</v>
      </c>
      <c r="C589" t="s">
        <v>8</v>
      </c>
      <c r="H589">
        <f>IF(B589="female", 0, 1)</f>
        <v>0</v>
      </c>
      <c r="I589">
        <f>IF(C589= "yes", 1, 0)</f>
        <v>1</v>
      </c>
      <c r="J589">
        <v>34</v>
      </c>
      <c r="K589">
        <v>30.21</v>
      </c>
      <c r="L589">
        <v>1</v>
      </c>
      <c r="M589">
        <v>43943.876100000001</v>
      </c>
    </row>
    <row r="590" spans="1:13" x14ac:dyDescent="0.35">
      <c r="A590" t="s">
        <v>14</v>
      </c>
      <c r="B590" t="s">
        <v>7</v>
      </c>
      <c r="C590" t="s">
        <v>11</v>
      </c>
      <c r="H590">
        <f>IF(B590="female", 0, 1)</f>
        <v>0</v>
      </c>
      <c r="I590">
        <f>IF(C590= "yes", 1, 0)</f>
        <v>0</v>
      </c>
      <c r="J590">
        <v>61</v>
      </c>
      <c r="K590">
        <v>35.909999999999997</v>
      </c>
      <c r="L590">
        <v>0</v>
      </c>
      <c r="M590">
        <v>13635.6379</v>
      </c>
    </row>
    <row r="591" spans="1:13" x14ac:dyDescent="0.35">
      <c r="A591" t="s">
        <v>12</v>
      </c>
      <c r="B591" t="s">
        <v>7</v>
      </c>
      <c r="C591" t="s">
        <v>11</v>
      </c>
      <c r="H591">
        <f>IF(B591="female", 0, 1)</f>
        <v>0</v>
      </c>
      <c r="I591">
        <f>IF(C591= "yes", 1, 0)</f>
        <v>0</v>
      </c>
      <c r="J591">
        <v>38</v>
      </c>
      <c r="K591">
        <v>30.69</v>
      </c>
      <c r="L591">
        <v>1</v>
      </c>
      <c r="M591">
        <v>5976.8311000000003</v>
      </c>
    </row>
    <row r="592" spans="1:13" x14ac:dyDescent="0.35">
      <c r="A592" t="s">
        <v>9</v>
      </c>
      <c r="B592" t="s">
        <v>7</v>
      </c>
      <c r="C592" t="s">
        <v>11</v>
      </c>
      <c r="H592">
        <f>IF(B592="female", 0, 1)</f>
        <v>0</v>
      </c>
      <c r="I592">
        <f>IF(C592= "yes", 1, 0)</f>
        <v>0</v>
      </c>
      <c r="J592">
        <v>58</v>
      </c>
      <c r="K592">
        <v>29</v>
      </c>
      <c r="L592">
        <v>0</v>
      </c>
      <c r="M592">
        <v>11842.441999999999</v>
      </c>
    </row>
    <row r="593" spans="1:13" x14ac:dyDescent="0.35">
      <c r="A593" t="s">
        <v>13</v>
      </c>
      <c r="B593" t="s">
        <v>10</v>
      </c>
      <c r="C593" t="s">
        <v>11</v>
      </c>
      <c r="H593">
        <f>IF(B593="female", 0, 1)</f>
        <v>1</v>
      </c>
      <c r="I593">
        <f>IF(C593= "yes", 1, 0)</f>
        <v>0</v>
      </c>
      <c r="J593">
        <v>47</v>
      </c>
      <c r="K593">
        <v>19.57</v>
      </c>
      <c r="L593">
        <v>1</v>
      </c>
      <c r="M593">
        <v>8428.0692999999992</v>
      </c>
    </row>
    <row r="594" spans="1:13" x14ac:dyDescent="0.35">
      <c r="A594" t="s">
        <v>12</v>
      </c>
      <c r="B594" t="s">
        <v>10</v>
      </c>
      <c r="C594" t="s">
        <v>11</v>
      </c>
      <c r="H594">
        <f>IF(B594="female", 0, 1)</f>
        <v>1</v>
      </c>
      <c r="I594">
        <f>IF(C594= "yes", 1, 0)</f>
        <v>0</v>
      </c>
      <c r="J594">
        <v>20</v>
      </c>
      <c r="K594">
        <v>31.13</v>
      </c>
      <c r="L594">
        <v>2</v>
      </c>
      <c r="M594">
        <v>2566.4706999999999</v>
      </c>
    </row>
    <row r="595" spans="1:13" x14ac:dyDescent="0.35">
      <c r="A595" t="s">
        <v>14</v>
      </c>
      <c r="B595" t="s">
        <v>7</v>
      </c>
      <c r="C595" t="s">
        <v>8</v>
      </c>
      <c r="H595">
        <f>IF(B595="female", 0, 1)</f>
        <v>0</v>
      </c>
      <c r="I595">
        <f>IF(C595= "yes", 1, 0)</f>
        <v>1</v>
      </c>
      <c r="J595">
        <v>21</v>
      </c>
      <c r="K595">
        <v>21.85</v>
      </c>
      <c r="L595">
        <v>1</v>
      </c>
      <c r="M595">
        <v>15359.104499999999</v>
      </c>
    </row>
    <row r="596" spans="1:13" x14ac:dyDescent="0.35">
      <c r="A596" t="s">
        <v>12</v>
      </c>
      <c r="B596" t="s">
        <v>10</v>
      </c>
      <c r="C596" t="s">
        <v>11</v>
      </c>
      <c r="H596">
        <f>IF(B596="female", 0, 1)</f>
        <v>1</v>
      </c>
      <c r="I596">
        <f>IF(C596= "yes", 1, 0)</f>
        <v>0</v>
      </c>
      <c r="J596">
        <v>41</v>
      </c>
      <c r="K596">
        <v>40.26</v>
      </c>
      <c r="L596">
        <v>0</v>
      </c>
      <c r="M596">
        <v>5709.1643999999997</v>
      </c>
    </row>
    <row r="597" spans="1:13" x14ac:dyDescent="0.35">
      <c r="A597" t="s">
        <v>14</v>
      </c>
      <c r="B597" t="s">
        <v>7</v>
      </c>
      <c r="C597" t="s">
        <v>11</v>
      </c>
      <c r="H597">
        <f>IF(B597="female", 0, 1)</f>
        <v>0</v>
      </c>
      <c r="I597">
        <f>IF(C597= "yes", 1, 0)</f>
        <v>0</v>
      </c>
      <c r="J597">
        <v>46</v>
      </c>
      <c r="K597">
        <v>33.725000000000001</v>
      </c>
      <c r="L597">
        <v>1</v>
      </c>
      <c r="M597">
        <v>8823.9857499999998</v>
      </c>
    </row>
    <row r="598" spans="1:13" x14ac:dyDescent="0.35">
      <c r="A598" t="s">
        <v>12</v>
      </c>
      <c r="B598" t="s">
        <v>7</v>
      </c>
      <c r="C598" t="s">
        <v>11</v>
      </c>
      <c r="H598">
        <f>IF(B598="female", 0, 1)</f>
        <v>0</v>
      </c>
      <c r="I598">
        <f>IF(C598= "yes", 1, 0)</f>
        <v>0</v>
      </c>
      <c r="J598">
        <v>42</v>
      </c>
      <c r="K598">
        <v>29.48</v>
      </c>
      <c r="L598">
        <v>2</v>
      </c>
      <c r="M598">
        <v>7640.3091999999997</v>
      </c>
    </row>
    <row r="599" spans="1:13" x14ac:dyDescent="0.35">
      <c r="A599" t="s">
        <v>14</v>
      </c>
      <c r="B599" t="s">
        <v>7</v>
      </c>
      <c r="C599" t="s">
        <v>11</v>
      </c>
      <c r="H599">
        <f>IF(B599="female", 0, 1)</f>
        <v>0</v>
      </c>
      <c r="I599">
        <f>IF(C599= "yes", 1, 0)</f>
        <v>0</v>
      </c>
      <c r="J599">
        <v>34</v>
      </c>
      <c r="K599">
        <v>33.25</v>
      </c>
      <c r="L599">
        <v>1</v>
      </c>
      <c r="M599">
        <v>5594.8455000000004</v>
      </c>
    </row>
    <row r="600" spans="1:13" x14ac:dyDescent="0.35">
      <c r="A600" t="s">
        <v>9</v>
      </c>
      <c r="B600" t="s">
        <v>10</v>
      </c>
      <c r="C600" t="s">
        <v>11</v>
      </c>
      <c r="H600">
        <f>IF(B600="female", 0, 1)</f>
        <v>1</v>
      </c>
      <c r="I600">
        <f>IF(C600= "yes", 1, 0)</f>
        <v>0</v>
      </c>
      <c r="J600">
        <v>43</v>
      </c>
      <c r="K600">
        <v>32.6</v>
      </c>
      <c r="L600">
        <v>2</v>
      </c>
      <c r="M600">
        <v>7441.5010000000002</v>
      </c>
    </row>
    <row r="601" spans="1:13" x14ac:dyDescent="0.35">
      <c r="A601" t="s">
        <v>13</v>
      </c>
      <c r="B601" t="s">
        <v>7</v>
      </c>
      <c r="C601" t="s">
        <v>11</v>
      </c>
      <c r="H601">
        <f>IF(B601="female", 0, 1)</f>
        <v>0</v>
      </c>
      <c r="I601">
        <f>IF(C601= "yes", 1, 0)</f>
        <v>0</v>
      </c>
      <c r="J601">
        <v>52</v>
      </c>
      <c r="K601">
        <v>37.524999999999999</v>
      </c>
      <c r="L601">
        <v>2</v>
      </c>
      <c r="M601">
        <v>33471.971890000001</v>
      </c>
    </row>
    <row r="602" spans="1:13" x14ac:dyDescent="0.35">
      <c r="A602" t="s">
        <v>12</v>
      </c>
      <c r="B602" t="s">
        <v>7</v>
      </c>
      <c r="C602" t="s">
        <v>11</v>
      </c>
      <c r="H602">
        <f>IF(B602="female", 0, 1)</f>
        <v>0</v>
      </c>
      <c r="I602">
        <f>IF(C602= "yes", 1, 0)</f>
        <v>0</v>
      </c>
      <c r="J602">
        <v>18</v>
      </c>
      <c r="K602">
        <v>39.159999999999997</v>
      </c>
      <c r="L602">
        <v>0</v>
      </c>
      <c r="M602">
        <v>1633.0444</v>
      </c>
    </row>
    <row r="603" spans="1:13" x14ac:dyDescent="0.35">
      <c r="A603" t="s">
        <v>13</v>
      </c>
      <c r="B603" t="s">
        <v>10</v>
      </c>
      <c r="C603" t="s">
        <v>11</v>
      </c>
      <c r="H603">
        <f>IF(B603="female", 0, 1)</f>
        <v>1</v>
      </c>
      <c r="I603">
        <f>IF(C603= "yes", 1, 0)</f>
        <v>0</v>
      </c>
      <c r="J603">
        <v>51</v>
      </c>
      <c r="K603">
        <v>31.635000000000002</v>
      </c>
      <c r="L603">
        <v>0</v>
      </c>
      <c r="M603">
        <v>9174.1356500000002</v>
      </c>
    </row>
    <row r="604" spans="1:13" x14ac:dyDescent="0.35">
      <c r="A604" t="s">
        <v>9</v>
      </c>
      <c r="B604" t="s">
        <v>7</v>
      </c>
      <c r="C604" t="s">
        <v>11</v>
      </c>
      <c r="H604">
        <f>IF(B604="female", 0, 1)</f>
        <v>0</v>
      </c>
      <c r="I604">
        <f>IF(C604= "yes", 1, 0)</f>
        <v>0</v>
      </c>
      <c r="J604">
        <v>56</v>
      </c>
      <c r="K604">
        <v>25.3</v>
      </c>
      <c r="L604">
        <v>0</v>
      </c>
      <c r="M604">
        <v>11070.535</v>
      </c>
    </row>
    <row r="605" spans="1:13" x14ac:dyDescent="0.35">
      <c r="A605" t="s">
        <v>12</v>
      </c>
      <c r="B605" t="s">
        <v>7</v>
      </c>
      <c r="C605" t="s">
        <v>11</v>
      </c>
      <c r="H605">
        <f>IF(B605="female", 0, 1)</f>
        <v>0</v>
      </c>
      <c r="I605">
        <f>IF(C605= "yes", 1, 0)</f>
        <v>0</v>
      </c>
      <c r="J605">
        <v>64</v>
      </c>
      <c r="K605">
        <v>39.049999999999997</v>
      </c>
      <c r="L605">
        <v>3</v>
      </c>
      <c r="M605">
        <v>16085.127500000001</v>
      </c>
    </row>
    <row r="606" spans="1:13" x14ac:dyDescent="0.35">
      <c r="A606" t="s">
        <v>13</v>
      </c>
      <c r="B606" t="s">
        <v>7</v>
      </c>
      <c r="C606" t="s">
        <v>8</v>
      </c>
      <c r="H606">
        <f>IF(B606="female", 0, 1)</f>
        <v>0</v>
      </c>
      <c r="I606">
        <f>IF(C606= "yes", 1, 0)</f>
        <v>1</v>
      </c>
      <c r="J606">
        <v>19</v>
      </c>
      <c r="K606">
        <v>28.31</v>
      </c>
      <c r="L606">
        <v>0</v>
      </c>
      <c r="M606">
        <v>17468.983899999999</v>
      </c>
    </row>
    <row r="607" spans="1:13" x14ac:dyDescent="0.35">
      <c r="A607" t="s">
        <v>12</v>
      </c>
      <c r="B607" t="s">
        <v>7</v>
      </c>
      <c r="C607" t="s">
        <v>11</v>
      </c>
      <c r="H607">
        <f>IF(B607="female", 0, 1)</f>
        <v>0</v>
      </c>
      <c r="I607">
        <f>IF(C607= "yes", 1, 0)</f>
        <v>0</v>
      </c>
      <c r="J607">
        <v>51</v>
      </c>
      <c r="K607">
        <v>34.1</v>
      </c>
      <c r="L607">
        <v>0</v>
      </c>
      <c r="M607">
        <v>9283.5619999999999</v>
      </c>
    </row>
    <row r="608" spans="1:13" x14ac:dyDescent="0.35">
      <c r="A608" t="s">
        <v>14</v>
      </c>
      <c r="B608" t="s">
        <v>7</v>
      </c>
      <c r="C608" t="s">
        <v>11</v>
      </c>
      <c r="H608">
        <f>IF(B608="female", 0, 1)</f>
        <v>0</v>
      </c>
      <c r="I608">
        <f>IF(C608= "yes", 1, 0)</f>
        <v>0</v>
      </c>
      <c r="J608">
        <v>27</v>
      </c>
      <c r="K608">
        <v>25.175000000000001</v>
      </c>
      <c r="L608">
        <v>0</v>
      </c>
      <c r="M608">
        <v>3558.6202499999999</v>
      </c>
    </row>
    <row r="609" spans="1:13" x14ac:dyDescent="0.35">
      <c r="A609" t="s">
        <v>13</v>
      </c>
      <c r="B609" t="s">
        <v>7</v>
      </c>
      <c r="C609" t="s">
        <v>8</v>
      </c>
      <c r="H609">
        <f>IF(B609="female", 0, 1)</f>
        <v>0</v>
      </c>
      <c r="I609">
        <f>IF(C609= "yes", 1, 0)</f>
        <v>1</v>
      </c>
      <c r="J609">
        <v>59</v>
      </c>
      <c r="K609">
        <v>23.655000000000001</v>
      </c>
      <c r="L609">
        <v>0</v>
      </c>
      <c r="M609">
        <v>25678.778450000002</v>
      </c>
    </row>
    <row r="610" spans="1:13" x14ac:dyDescent="0.35">
      <c r="A610" t="s">
        <v>14</v>
      </c>
      <c r="B610" t="s">
        <v>10</v>
      </c>
      <c r="C610" t="s">
        <v>11</v>
      </c>
      <c r="H610">
        <f>IF(B610="female", 0, 1)</f>
        <v>1</v>
      </c>
      <c r="I610">
        <f>IF(C610= "yes", 1, 0)</f>
        <v>0</v>
      </c>
      <c r="J610">
        <v>28</v>
      </c>
      <c r="K610">
        <v>26.98</v>
      </c>
      <c r="L610">
        <v>2</v>
      </c>
      <c r="M610">
        <v>4435.0941999999995</v>
      </c>
    </row>
    <row r="611" spans="1:13" x14ac:dyDescent="0.35">
      <c r="A611" t="s">
        <v>9</v>
      </c>
      <c r="B611" t="s">
        <v>10</v>
      </c>
      <c r="C611" t="s">
        <v>8</v>
      </c>
      <c r="H611">
        <f>IF(B611="female", 0, 1)</f>
        <v>1</v>
      </c>
      <c r="I611">
        <f>IF(C611= "yes", 1, 0)</f>
        <v>1</v>
      </c>
      <c r="J611">
        <v>30</v>
      </c>
      <c r="K611">
        <v>37.799999999999997</v>
      </c>
      <c r="L611">
        <v>2</v>
      </c>
      <c r="M611">
        <v>39241.442000000003</v>
      </c>
    </row>
    <row r="612" spans="1:13" x14ac:dyDescent="0.35">
      <c r="A612" t="s">
        <v>12</v>
      </c>
      <c r="B612" t="s">
        <v>7</v>
      </c>
      <c r="C612" t="s">
        <v>11</v>
      </c>
      <c r="H612">
        <f>IF(B612="female", 0, 1)</f>
        <v>0</v>
      </c>
      <c r="I612">
        <f>IF(C612= "yes", 1, 0)</f>
        <v>0</v>
      </c>
      <c r="J612">
        <v>47</v>
      </c>
      <c r="K612">
        <v>29.37</v>
      </c>
      <c r="L612">
        <v>1</v>
      </c>
      <c r="M612">
        <v>8547.6913000000004</v>
      </c>
    </row>
    <row r="613" spans="1:13" x14ac:dyDescent="0.35">
      <c r="A613" t="s">
        <v>9</v>
      </c>
      <c r="B613" t="s">
        <v>7</v>
      </c>
      <c r="C613" t="s">
        <v>11</v>
      </c>
      <c r="H613">
        <f>IF(B613="female", 0, 1)</f>
        <v>0</v>
      </c>
      <c r="I613">
        <f>IF(C613= "yes", 1, 0)</f>
        <v>0</v>
      </c>
      <c r="J613">
        <v>38</v>
      </c>
      <c r="K613">
        <v>34.799999999999997</v>
      </c>
      <c r="L613">
        <v>2</v>
      </c>
      <c r="M613">
        <v>6571.5439999999999</v>
      </c>
    </row>
    <row r="614" spans="1:13" x14ac:dyDescent="0.35">
      <c r="A614" t="s">
        <v>14</v>
      </c>
      <c r="B614" t="s">
        <v>7</v>
      </c>
      <c r="C614" t="s">
        <v>11</v>
      </c>
      <c r="H614">
        <f>IF(B614="female", 0, 1)</f>
        <v>0</v>
      </c>
      <c r="I614">
        <f>IF(C614= "yes", 1, 0)</f>
        <v>0</v>
      </c>
      <c r="J614">
        <v>18</v>
      </c>
      <c r="K614">
        <v>33.155000000000001</v>
      </c>
      <c r="L614">
        <v>0</v>
      </c>
      <c r="M614">
        <v>2207.6974500000001</v>
      </c>
    </row>
    <row r="615" spans="1:13" x14ac:dyDescent="0.35">
      <c r="A615" t="s">
        <v>14</v>
      </c>
      <c r="B615" t="s">
        <v>7</v>
      </c>
      <c r="C615" t="s">
        <v>11</v>
      </c>
      <c r="H615">
        <f>IF(B615="female", 0, 1)</f>
        <v>0</v>
      </c>
      <c r="I615">
        <f>IF(C615= "yes", 1, 0)</f>
        <v>0</v>
      </c>
      <c r="J615">
        <v>34</v>
      </c>
      <c r="K615">
        <v>19</v>
      </c>
      <c r="L615">
        <v>3</v>
      </c>
      <c r="M615">
        <v>6753.0379999999996</v>
      </c>
    </row>
    <row r="616" spans="1:13" x14ac:dyDescent="0.35">
      <c r="A616" t="s">
        <v>12</v>
      </c>
      <c r="B616" t="s">
        <v>7</v>
      </c>
      <c r="C616" t="s">
        <v>11</v>
      </c>
      <c r="H616">
        <f>IF(B616="female", 0, 1)</f>
        <v>0</v>
      </c>
      <c r="I616">
        <f>IF(C616= "yes", 1, 0)</f>
        <v>0</v>
      </c>
      <c r="J616">
        <v>20</v>
      </c>
      <c r="K616">
        <v>33</v>
      </c>
      <c r="L616">
        <v>0</v>
      </c>
      <c r="M616">
        <v>1880.07</v>
      </c>
    </row>
    <row r="617" spans="1:13" x14ac:dyDescent="0.35">
      <c r="A617" t="s">
        <v>12</v>
      </c>
      <c r="B617" t="s">
        <v>7</v>
      </c>
      <c r="C617" t="s">
        <v>8</v>
      </c>
      <c r="H617">
        <f>IF(B617="female", 0, 1)</f>
        <v>0</v>
      </c>
      <c r="I617">
        <f>IF(C617= "yes", 1, 0)</f>
        <v>1</v>
      </c>
      <c r="J617">
        <v>47</v>
      </c>
      <c r="K617">
        <v>36.630000000000003</v>
      </c>
      <c r="L617">
        <v>1</v>
      </c>
      <c r="M617">
        <v>42969.852700000003</v>
      </c>
    </row>
    <row r="618" spans="1:13" x14ac:dyDescent="0.35">
      <c r="A618" t="s">
        <v>14</v>
      </c>
      <c r="B618" t="s">
        <v>7</v>
      </c>
      <c r="C618" t="s">
        <v>11</v>
      </c>
      <c r="H618">
        <f>IF(B618="female", 0, 1)</f>
        <v>0</v>
      </c>
      <c r="I618">
        <f>IF(C618= "yes", 1, 0)</f>
        <v>0</v>
      </c>
      <c r="J618">
        <v>56</v>
      </c>
      <c r="K618">
        <v>28.594999999999999</v>
      </c>
      <c r="L618">
        <v>0</v>
      </c>
      <c r="M618">
        <v>11658.11505</v>
      </c>
    </row>
    <row r="619" spans="1:13" x14ac:dyDescent="0.35">
      <c r="A619" t="s">
        <v>9</v>
      </c>
      <c r="B619" t="s">
        <v>10</v>
      </c>
      <c r="C619" t="s">
        <v>8</v>
      </c>
      <c r="H619">
        <f>IF(B619="female", 0, 1)</f>
        <v>1</v>
      </c>
      <c r="I619">
        <f>IF(C619= "yes", 1, 0)</f>
        <v>1</v>
      </c>
      <c r="J619">
        <v>49</v>
      </c>
      <c r="K619">
        <v>25.6</v>
      </c>
      <c r="L619">
        <v>2</v>
      </c>
      <c r="M619">
        <v>23306.546999999999</v>
      </c>
    </row>
    <row r="620" spans="1:13" x14ac:dyDescent="0.35">
      <c r="A620" t="s">
        <v>12</v>
      </c>
      <c r="B620" t="s">
        <v>7</v>
      </c>
      <c r="C620" t="s">
        <v>8</v>
      </c>
      <c r="H620">
        <f>IF(B620="female", 0, 1)</f>
        <v>0</v>
      </c>
      <c r="I620">
        <f>IF(C620= "yes", 1, 0)</f>
        <v>1</v>
      </c>
      <c r="J620">
        <v>19</v>
      </c>
      <c r="K620">
        <v>33.11</v>
      </c>
      <c r="L620">
        <v>0</v>
      </c>
      <c r="M620">
        <v>34439.855900000002</v>
      </c>
    </row>
    <row r="621" spans="1:13" x14ac:dyDescent="0.35">
      <c r="A621" t="s">
        <v>9</v>
      </c>
      <c r="B621" t="s">
        <v>7</v>
      </c>
      <c r="C621" t="s">
        <v>11</v>
      </c>
      <c r="H621">
        <f>IF(B621="female", 0, 1)</f>
        <v>0</v>
      </c>
      <c r="I621">
        <f>IF(C621= "yes", 1, 0)</f>
        <v>0</v>
      </c>
      <c r="J621">
        <v>55</v>
      </c>
      <c r="K621">
        <v>37.1</v>
      </c>
      <c r="L621">
        <v>0</v>
      </c>
      <c r="M621">
        <v>10713.644</v>
      </c>
    </row>
    <row r="622" spans="1:13" x14ac:dyDescent="0.35">
      <c r="A622" t="s">
        <v>9</v>
      </c>
      <c r="B622" t="s">
        <v>10</v>
      </c>
      <c r="C622" t="s">
        <v>11</v>
      </c>
      <c r="H622">
        <f>IF(B622="female", 0, 1)</f>
        <v>1</v>
      </c>
      <c r="I622">
        <f>IF(C622= "yes", 1, 0)</f>
        <v>0</v>
      </c>
      <c r="J622">
        <v>30</v>
      </c>
      <c r="K622">
        <v>31.4</v>
      </c>
      <c r="L622">
        <v>1</v>
      </c>
      <c r="M622">
        <v>3659.346</v>
      </c>
    </row>
    <row r="623" spans="1:13" x14ac:dyDescent="0.35">
      <c r="A623" t="s">
        <v>9</v>
      </c>
      <c r="B623" t="s">
        <v>10</v>
      </c>
      <c r="C623" t="s">
        <v>8</v>
      </c>
      <c r="H623">
        <f>IF(B623="female", 0, 1)</f>
        <v>1</v>
      </c>
      <c r="I623">
        <f>IF(C623= "yes", 1, 0)</f>
        <v>1</v>
      </c>
      <c r="J623">
        <v>37</v>
      </c>
      <c r="K623">
        <v>34.1</v>
      </c>
      <c r="L623">
        <v>4</v>
      </c>
      <c r="M623">
        <v>40182.245999999999</v>
      </c>
    </row>
    <row r="624" spans="1:13" x14ac:dyDescent="0.35">
      <c r="A624" t="s">
        <v>9</v>
      </c>
      <c r="B624" t="s">
        <v>7</v>
      </c>
      <c r="C624" t="s">
        <v>11</v>
      </c>
      <c r="H624">
        <f>IF(B624="female", 0, 1)</f>
        <v>0</v>
      </c>
      <c r="I624">
        <f>IF(C624= "yes", 1, 0)</f>
        <v>0</v>
      </c>
      <c r="J624">
        <v>49</v>
      </c>
      <c r="K624">
        <v>21.3</v>
      </c>
      <c r="L624">
        <v>1</v>
      </c>
      <c r="M624">
        <v>9182.17</v>
      </c>
    </row>
    <row r="625" spans="1:13" x14ac:dyDescent="0.35">
      <c r="A625" t="s">
        <v>14</v>
      </c>
      <c r="B625" t="s">
        <v>10</v>
      </c>
      <c r="C625" t="s">
        <v>8</v>
      </c>
      <c r="H625">
        <f>IF(B625="female", 0, 1)</f>
        <v>1</v>
      </c>
      <c r="I625">
        <f>IF(C625= "yes", 1, 0)</f>
        <v>1</v>
      </c>
      <c r="J625">
        <v>18</v>
      </c>
      <c r="K625">
        <v>33.534999999999997</v>
      </c>
      <c r="L625">
        <v>0</v>
      </c>
      <c r="M625">
        <v>34617.840649999998</v>
      </c>
    </row>
    <row r="626" spans="1:13" x14ac:dyDescent="0.35">
      <c r="A626" t="s">
        <v>13</v>
      </c>
      <c r="B626" t="s">
        <v>10</v>
      </c>
      <c r="C626" t="s">
        <v>11</v>
      </c>
      <c r="H626">
        <f>IF(B626="female", 0, 1)</f>
        <v>1</v>
      </c>
      <c r="I626">
        <f>IF(C626= "yes", 1, 0)</f>
        <v>0</v>
      </c>
      <c r="J626">
        <v>59</v>
      </c>
      <c r="K626">
        <v>28.785</v>
      </c>
      <c r="L626">
        <v>0</v>
      </c>
      <c r="M626">
        <v>12129.614149999999</v>
      </c>
    </row>
    <row r="627" spans="1:13" x14ac:dyDescent="0.35">
      <c r="A627" t="s">
        <v>13</v>
      </c>
      <c r="B627" t="s">
        <v>7</v>
      </c>
      <c r="C627" t="s">
        <v>11</v>
      </c>
      <c r="H627">
        <f>IF(B627="female", 0, 1)</f>
        <v>0</v>
      </c>
      <c r="I627">
        <f>IF(C627= "yes", 1, 0)</f>
        <v>0</v>
      </c>
      <c r="J627">
        <v>29</v>
      </c>
      <c r="K627">
        <v>26.03</v>
      </c>
      <c r="L627">
        <v>0</v>
      </c>
      <c r="M627">
        <v>3736.4647</v>
      </c>
    </row>
    <row r="628" spans="1:13" x14ac:dyDescent="0.35">
      <c r="A628" t="s">
        <v>14</v>
      </c>
      <c r="B628" t="s">
        <v>10</v>
      </c>
      <c r="C628" t="s">
        <v>11</v>
      </c>
      <c r="H628">
        <f>IF(B628="female", 0, 1)</f>
        <v>1</v>
      </c>
      <c r="I628">
        <f>IF(C628= "yes", 1, 0)</f>
        <v>0</v>
      </c>
      <c r="J628">
        <v>36</v>
      </c>
      <c r="K628">
        <v>28.88</v>
      </c>
      <c r="L628">
        <v>3</v>
      </c>
      <c r="M628">
        <v>6748.5911999999998</v>
      </c>
    </row>
    <row r="629" spans="1:13" x14ac:dyDescent="0.35">
      <c r="A629" t="s">
        <v>12</v>
      </c>
      <c r="B629" t="s">
        <v>10</v>
      </c>
      <c r="C629" t="s">
        <v>11</v>
      </c>
      <c r="H629">
        <f>IF(B629="female", 0, 1)</f>
        <v>1</v>
      </c>
      <c r="I629">
        <f>IF(C629= "yes", 1, 0)</f>
        <v>0</v>
      </c>
      <c r="J629">
        <v>33</v>
      </c>
      <c r="K629">
        <v>42.46</v>
      </c>
      <c r="L629">
        <v>1</v>
      </c>
      <c r="M629">
        <v>11326.71487</v>
      </c>
    </row>
    <row r="630" spans="1:13" x14ac:dyDescent="0.35">
      <c r="A630" t="s">
        <v>9</v>
      </c>
      <c r="B630" t="s">
        <v>10</v>
      </c>
      <c r="C630" t="s">
        <v>11</v>
      </c>
      <c r="H630">
        <f>IF(B630="female", 0, 1)</f>
        <v>1</v>
      </c>
      <c r="I630">
        <f>IF(C630= "yes", 1, 0)</f>
        <v>0</v>
      </c>
      <c r="J630">
        <v>58</v>
      </c>
      <c r="K630">
        <v>38</v>
      </c>
      <c r="L630">
        <v>0</v>
      </c>
      <c r="M630">
        <v>11365.951999999999</v>
      </c>
    </row>
    <row r="631" spans="1:13" x14ac:dyDescent="0.35">
      <c r="A631" t="s">
        <v>13</v>
      </c>
      <c r="B631" t="s">
        <v>7</v>
      </c>
      <c r="C631" t="s">
        <v>8</v>
      </c>
      <c r="H631">
        <f>IF(B631="female", 0, 1)</f>
        <v>0</v>
      </c>
      <c r="I631">
        <f>IF(C631= "yes", 1, 0)</f>
        <v>1</v>
      </c>
      <c r="J631">
        <v>44</v>
      </c>
      <c r="K631">
        <v>38.950000000000003</v>
      </c>
      <c r="L631">
        <v>0</v>
      </c>
      <c r="M631">
        <v>42983.458500000001</v>
      </c>
    </row>
    <row r="632" spans="1:13" x14ac:dyDescent="0.35">
      <c r="A632" t="s">
        <v>9</v>
      </c>
      <c r="B632" t="s">
        <v>10</v>
      </c>
      <c r="C632" t="s">
        <v>11</v>
      </c>
      <c r="H632">
        <f>IF(B632="female", 0, 1)</f>
        <v>1</v>
      </c>
      <c r="I632">
        <f>IF(C632= "yes", 1, 0)</f>
        <v>0</v>
      </c>
      <c r="J632">
        <v>53</v>
      </c>
      <c r="K632">
        <v>36.1</v>
      </c>
      <c r="L632">
        <v>1</v>
      </c>
      <c r="M632">
        <v>10085.846</v>
      </c>
    </row>
    <row r="633" spans="1:13" x14ac:dyDescent="0.35">
      <c r="A633" t="s">
        <v>9</v>
      </c>
      <c r="B633" t="s">
        <v>10</v>
      </c>
      <c r="C633" t="s">
        <v>11</v>
      </c>
      <c r="H633">
        <f>IF(B633="female", 0, 1)</f>
        <v>1</v>
      </c>
      <c r="I633">
        <f>IF(C633= "yes", 1, 0)</f>
        <v>0</v>
      </c>
      <c r="J633">
        <v>24</v>
      </c>
      <c r="K633">
        <v>29.3</v>
      </c>
      <c r="L633">
        <v>0</v>
      </c>
      <c r="M633">
        <v>1977.8150000000001</v>
      </c>
    </row>
    <row r="634" spans="1:13" x14ac:dyDescent="0.35">
      <c r="A634" t="s">
        <v>12</v>
      </c>
      <c r="B634" t="s">
        <v>7</v>
      </c>
      <c r="C634" t="s">
        <v>11</v>
      </c>
      <c r="H634">
        <f>IF(B634="female", 0, 1)</f>
        <v>0</v>
      </c>
      <c r="I634">
        <f>IF(C634= "yes", 1, 0)</f>
        <v>0</v>
      </c>
      <c r="J634">
        <v>29</v>
      </c>
      <c r="K634">
        <v>35.53</v>
      </c>
      <c r="L634">
        <v>0</v>
      </c>
      <c r="M634">
        <v>3366.6696999999999</v>
      </c>
    </row>
    <row r="635" spans="1:13" x14ac:dyDescent="0.35">
      <c r="A635" t="s">
        <v>14</v>
      </c>
      <c r="B635" t="s">
        <v>10</v>
      </c>
      <c r="C635" t="s">
        <v>11</v>
      </c>
      <c r="H635">
        <f>IF(B635="female", 0, 1)</f>
        <v>1</v>
      </c>
      <c r="I635">
        <f>IF(C635= "yes", 1, 0)</f>
        <v>0</v>
      </c>
      <c r="J635">
        <v>40</v>
      </c>
      <c r="K635">
        <v>22.704999999999998</v>
      </c>
      <c r="L635">
        <v>2</v>
      </c>
      <c r="M635">
        <v>7173.35995</v>
      </c>
    </row>
    <row r="636" spans="1:13" x14ac:dyDescent="0.35">
      <c r="A636" t="s">
        <v>9</v>
      </c>
      <c r="B636" t="s">
        <v>10</v>
      </c>
      <c r="C636" t="s">
        <v>11</v>
      </c>
      <c r="H636">
        <f>IF(B636="female", 0, 1)</f>
        <v>1</v>
      </c>
      <c r="I636">
        <f>IF(C636= "yes", 1, 0)</f>
        <v>0</v>
      </c>
      <c r="J636">
        <v>51</v>
      </c>
      <c r="K636">
        <v>39.700000000000003</v>
      </c>
      <c r="L636">
        <v>1</v>
      </c>
      <c r="M636">
        <v>9391.3459999999995</v>
      </c>
    </row>
    <row r="637" spans="1:13" x14ac:dyDescent="0.35">
      <c r="A637" t="s">
        <v>14</v>
      </c>
      <c r="B637" t="s">
        <v>10</v>
      </c>
      <c r="C637" t="s">
        <v>11</v>
      </c>
      <c r="H637">
        <f>IF(B637="female", 0, 1)</f>
        <v>1</v>
      </c>
      <c r="I637">
        <f>IF(C637= "yes", 1, 0)</f>
        <v>0</v>
      </c>
      <c r="J637">
        <v>64</v>
      </c>
      <c r="K637">
        <v>38.19</v>
      </c>
      <c r="L637">
        <v>0</v>
      </c>
      <c r="M637">
        <v>14410.9321</v>
      </c>
    </row>
    <row r="638" spans="1:13" x14ac:dyDescent="0.35">
      <c r="A638" t="s">
        <v>13</v>
      </c>
      <c r="B638" t="s">
        <v>7</v>
      </c>
      <c r="C638" t="s">
        <v>11</v>
      </c>
      <c r="H638">
        <f>IF(B638="female", 0, 1)</f>
        <v>0</v>
      </c>
      <c r="I638">
        <f>IF(C638= "yes", 1, 0)</f>
        <v>0</v>
      </c>
      <c r="J638">
        <v>19</v>
      </c>
      <c r="K638">
        <v>24.51</v>
      </c>
      <c r="L638">
        <v>1</v>
      </c>
      <c r="M638">
        <v>2709.1118999999999</v>
      </c>
    </row>
    <row r="639" spans="1:13" x14ac:dyDescent="0.35">
      <c r="A639" t="s">
        <v>14</v>
      </c>
      <c r="B639" t="s">
        <v>7</v>
      </c>
      <c r="C639" t="s">
        <v>11</v>
      </c>
      <c r="H639">
        <f>IF(B639="female", 0, 1)</f>
        <v>0</v>
      </c>
      <c r="I639">
        <f>IF(C639= "yes", 1, 0)</f>
        <v>0</v>
      </c>
      <c r="J639">
        <v>35</v>
      </c>
      <c r="K639">
        <v>38.094999999999999</v>
      </c>
      <c r="L639">
        <v>2</v>
      </c>
      <c r="M639">
        <v>24915.046259999999</v>
      </c>
    </row>
    <row r="640" spans="1:13" x14ac:dyDescent="0.35">
      <c r="A640" t="s">
        <v>14</v>
      </c>
      <c r="B640" t="s">
        <v>10</v>
      </c>
      <c r="C640" t="s">
        <v>8</v>
      </c>
      <c r="H640">
        <f>IF(B640="female", 0, 1)</f>
        <v>1</v>
      </c>
      <c r="I640">
        <f>IF(C640= "yes", 1, 0)</f>
        <v>1</v>
      </c>
      <c r="J640">
        <v>39</v>
      </c>
      <c r="K640">
        <v>26.41</v>
      </c>
      <c r="L640">
        <v>0</v>
      </c>
      <c r="M640">
        <v>20149.322899999999</v>
      </c>
    </row>
    <row r="641" spans="1:13" x14ac:dyDescent="0.35">
      <c r="A641" t="s">
        <v>12</v>
      </c>
      <c r="B641" t="s">
        <v>10</v>
      </c>
      <c r="C641" t="s">
        <v>11</v>
      </c>
      <c r="H641">
        <f>IF(B641="female", 0, 1)</f>
        <v>1</v>
      </c>
      <c r="I641">
        <f>IF(C641= "yes", 1, 0)</f>
        <v>0</v>
      </c>
      <c r="J641">
        <v>56</v>
      </c>
      <c r="K641">
        <v>33.659999999999997</v>
      </c>
      <c r="L641">
        <v>4</v>
      </c>
      <c r="M641">
        <v>12949.1554</v>
      </c>
    </row>
    <row r="642" spans="1:13" x14ac:dyDescent="0.35">
      <c r="A642" t="s">
        <v>9</v>
      </c>
      <c r="B642" t="s">
        <v>10</v>
      </c>
      <c r="C642" t="s">
        <v>11</v>
      </c>
      <c r="H642">
        <f>IF(B642="female", 0, 1)</f>
        <v>1</v>
      </c>
      <c r="I642">
        <f>IF(C642= "yes", 1, 0)</f>
        <v>0</v>
      </c>
      <c r="J642">
        <v>33</v>
      </c>
      <c r="K642">
        <v>42.4</v>
      </c>
      <c r="L642">
        <v>5</v>
      </c>
      <c r="M642">
        <v>6666.2430000000004</v>
      </c>
    </row>
    <row r="643" spans="1:13" x14ac:dyDescent="0.35">
      <c r="A643" t="s">
        <v>13</v>
      </c>
      <c r="B643" t="s">
        <v>10</v>
      </c>
      <c r="C643" t="s">
        <v>8</v>
      </c>
      <c r="H643">
        <f>IF(B643="female", 0, 1)</f>
        <v>1</v>
      </c>
      <c r="I643">
        <f>IF(C643= "yes", 1, 0)</f>
        <v>1</v>
      </c>
      <c r="J643">
        <v>42</v>
      </c>
      <c r="K643">
        <v>28.31</v>
      </c>
      <c r="L643">
        <v>3</v>
      </c>
      <c r="M643">
        <v>32787.458590000002</v>
      </c>
    </row>
    <row r="644" spans="1:13" x14ac:dyDescent="0.35">
      <c r="A644" t="s">
        <v>14</v>
      </c>
      <c r="B644" t="s">
        <v>10</v>
      </c>
      <c r="C644" t="s">
        <v>11</v>
      </c>
      <c r="H644">
        <f>IF(B644="female", 0, 1)</f>
        <v>1</v>
      </c>
      <c r="I644">
        <f>IF(C644= "yes", 1, 0)</f>
        <v>0</v>
      </c>
      <c r="J644">
        <v>61</v>
      </c>
      <c r="K644">
        <v>33.914999999999999</v>
      </c>
      <c r="L644">
        <v>0</v>
      </c>
      <c r="M644">
        <v>13143.86485</v>
      </c>
    </row>
    <row r="645" spans="1:13" x14ac:dyDescent="0.35">
      <c r="A645" t="s">
        <v>13</v>
      </c>
      <c r="B645" t="s">
        <v>7</v>
      </c>
      <c r="C645" t="s">
        <v>11</v>
      </c>
      <c r="H645">
        <f>IF(B645="female", 0, 1)</f>
        <v>0</v>
      </c>
      <c r="I645">
        <f>IF(C645= "yes", 1, 0)</f>
        <v>0</v>
      </c>
      <c r="J645">
        <v>23</v>
      </c>
      <c r="K645">
        <v>34.96</v>
      </c>
      <c r="L645">
        <v>3</v>
      </c>
      <c r="M645">
        <v>4466.6214</v>
      </c>
    </row>
    <row r="646" spans="1:13" x14ac:dyDescent="0.35">
      <c r="A646" t="s">
        <v>12</v>
      </c>
      <c r="B646" t="s">
        <v>10</v>
      </c>
      <c r="C646" t="s">
        <v>11</v>
      </c>
      <c r="H646">
        <f>IF(B646="female", 0, 1)</f>
        <v>1</v>
      </c>
      <c r="I646">
        <f>IF(C646= "yes", 1, 0)</f>
        <v>0</v>
      </c>
      <c r="J646">
        <v>43</v>
      </c>
      <c r="K646">
        <v>35.31</v>
      </c>
      <c r="L646">
        <v>2</v>
      </c>
      <c r="M646">
        <v>18806.145469999999</v>
      </c>
    </row>
    <row r="647" spans="1:13" x14ac:dyDescent="0.35">
      <c r="A647" t="s">
        <v>14</v>
      </c>
      <c r="B647" t="s">
        <v>10</v>
      </c>
      <c r="C647" t="s">
        <v>11</v>
      </c>
      <c r="H647">
        <f>IF(B647="female", 0, 1)</f>
        <v>1</v>
      </c>
      <c r="I647">
        <f>IF(C647= "yes", 1, 0)</f>
        <v>0</v>
      </c>
      <c r="J647">
        <v>48</v>
      </c>
      <c r="K647">
        <v>30.78</v>
      </c>
      <c r="L647">
        <v>3</v>
      </c>
      <c r="M647">
        <v>10141.136200000001</v>
      </c>
    </row>
    <row r="648" spans="1:13" x14ac:dyDescent="0.35">
      <c r="A648" t="s">
        <v>13</v>
      </c>
      <c r="B648" t="s">
        <v>10</v>
      </c>
      <c r="C648" t="s">
        <v>11</v>
      </c>
      <c r="H648">
        <f>IF(B648="female", 0, 1)</f>
        <v>1</v>
      </c>
      <c r="I648">
        <f>IF(C648= "yes", 1, 0)</f>
        <v>0</v>
      </c>
      <c r="J648">
        <v>39</v>
      </c>
      <c r="K648">
        <v>26.22</v>
      </c>
      <c r="L648">
        <v>1</v>
      </c>
      <c r="M648">
        <v>6123.5688</v>
      </c>
    </row>
    <row r="649" spans="1:13" x14ac:dyDescent="0.35">
      <c r="A649" t="s">
        <v>14</v>
      </c>
      <c r="B649" t="s">
        <v>7</v>
      </c>
      <c r="C649" t="s">
        <v>11</v>
      </c>
      <c r="H649">
        <f>IF(B649="female", 0, 1)</f>
        <v>0</v>
      </c>
      <c r="I649">
        <f>IF(C649= "yes", 1, 0)</f>
        <v>0</v>
      </c>
      <c r="J649">
        <v>40</v>
      </c>
      <c r="K649">
        <v>23.37</v>
      </c>
      <c r="L649">
        <v>3</v>
      </c>
      <c r="M649">
        <v>8252.2842999999993</v>
      </c>
    </row>
    <row r="650" spans="1:13" x14ac:dyDescent="0.35">
      <c r="A650" t="s">
        <v>14</v>
      </c>
      <c r="B650" t="s">
        <v>10</v>
      </c>
      <c r="C650" t="s">
        <v>11</v>
      </c>
      <c r="H650">
        <f>IF(B650="female", 0, 1)</f>
        <v>1</v>
      </c>
      <c r="I650">
        <f>IF(C650= "yes", 1, 0)</f>
        <v>0</v>
      </c>
      <c r="J650">
        <v>18</v>
      </c>
      <c r="K650">
        <v>28.5</v>
      </c>
      <c r="L650">
        <v>0</v>
      </c>
      <c r="M650">
        <v>1712.2270000000001</v>
      </c>
    </row>
    <row r="651" spans="1:13" x14ac:dyDescent="0.35">
      <c r="A651" t="s">
        <v>14</v>
      </c>
      <c r="B651" t="s">
        <v>7</v>
      </c>
      <c r="C651" t="s">
        <v>11</v>
      </c>
      <c r="H651">
        <f>IF(B651="female", 0, 1)</f>
        <v>0</v>
      </c>
      <c r="I651">
        <f>IF(C651= "yes", 1, 0)</f>
        <v>0</v>
      </c>
      <c r="J651">
        <v>58</v>
      </c>
      <c r="K651">
        <v>32.965000000000003</v>
      </c>
      <c r="L651">
        <v>0</v>
      </c>
      <c r="M651">
        <v>12430.95335</v>
      </c>
    </row>
    <row r="652" spans="1:13" x14ac:dyDescent="0.35">
      <c r="A652" t="s">
        <v>12</v>
      </c>
      <c r="B652" t="s">
        <v>7</v>
      </c>
      <c r="C652" t="s">
        <v>11</v>
      </c>
      <c r="H652">
        <f>IF(B652="female", 0, 1)</f>
        <v>0</v>
      </c>
      <c r="I652">
        <f>IF(C652= "yes", 1, 0)</f>
        <v>0</v>
      </c>
      <c r="J652">
        <v>49</v>
      </c>
      <c r="K652">
        <v>42.68</v>
      </c>
      <c r="L652">
        <v>2</v>
      </c>
      <c r="M652">
        <v>9800.8881999999994</v>
      </c>
    </row>
    <row r="653" spans="1:13" x14ac:dyDescent="0.35">
      <c r="A653" t="s">
        <v>12</v>
      </c>
      <c r="B653" t="s">
        <v>7</v>
      </c>
      <c r="C653" t="s">
        <v>11</v>
      </c>
      <c r="H653">
        <f>IF(B653="female", 0, 1)</f>
        <v>0</v>
      </c>
      <c r="I653">
        <f>IF(C653= "yes", 1, 0)</f>
        <v>0</v>
      </c>
      <c r="J653">
        <v>53</v>
      </c>
      <c r="K653">
        <v>39.6</v>
      </c>
      <c r="L653">
        <v>1</v>
      </c>
      <c r="M653">
        <v>10579.710999999999</v>
      </c>
    </row>
    <row r="654" spans="1:13" x14ac:dyDescent="0.35">
      <c r="A654" t="s">
        <v>12</v>
      </c>
      <c r="B654" t="s">
        <v>7</v>
      </c>
      <c r="C654" t="s">
        <v>11</v>
      </c>
      <c r="H654">
        <f>IF(B654="female", 0, 1)</f>
        <v>0</v>
      </c>
      <c r="I654">
        <f>IF(C654= "yes", 1, 0)</f>
        <v>0</v>
      </c>
      <c r="J654">
        <v>48</v>
      </c>
      <c r="K654">
        <v>31.13</v>
      </c>
      <c r="L654">
        <v>0</v>
      </c>
      <c r="M654">
        <v>8280.6226999999999</v>
      </c>
    </row>
    <row r="655" spans="1:13" x14ac:dyDescent="0.35">
      <c r="A655" t="s">
        <v>12</v>
      </c>
      <c r="B655" t="s">
        <v>7</v>
      </c>
      <c r="C655" t="s">
        <v>11</v>
      </c>
      <c r="H655">
        <f>IF(B655="female", 0, 1)</f>
        <v>0</v>
      </c>
      <c r="I655">
        <f>IF(C655= "yes", 1, 0)</f>
        <v>0</v>
      </c>
      <c r="J655">
        <v>45</v>
      </c>
      <c r="K655">
        <v>36.299999999999997</v>
      </c>
      <c r="L655">
        <v>2</v>
      </c>
      <c r="M655">
        <v>8527.5319999999992</v>
      </c>
    </row>
    <row r="656" spans="1:13" x14ac:dyDescent="0.35">
      <c r="A656" t="s">
        <v>12</v>
      </c>
      <c r="B656" t="s">
        <v>7</v>
      </c>
      <c r="C656" t="s">
        <v>11</v>
      </c>
      <c r="H656">
        <f>IF(B656="female", 0, 1)</f>
        <v>0</v>
      </c>
      <c r="I656">
        <f>IF(C656= "yes", 1, 0)</f>
        <v>0</v>
      </c>
      <c r="J656">
        <v>59</v>
      </c>
      <c r="K656">
        <v>35.200000000000003</v>
      </c>
      <c r="L656">
        <v>0</v>
      </c>
      <c r="M656">
        <v>12244.531000000001</v>
      </c>
    </row>
    <row r="657" spans="1:13" x14ac:dyDescent="0.35">
      <c r="A657" t="s">
        <v>12</v>
      </c>
      <c r="B657" t="s">
        <v>7</v>
      </c>
      <c r="C657" t="s">
        <v>8</v>
      </c>
      <c r="H657">
        <f>IF(B657="female", 0, 1)</f>
        <v>0</v>
      </c>
      <c r="I657">
        <f>IF(C657= "yes", 1, 0)</f>
        <v>1</v>
      </c>
      <c r="J657">
        <v>52</v>
      </c>
      <c r="K657">
        <v>25.3</v>
      </c>
      <c r="L657">
        <v>2</v>
      </c>
      <c r="M657">
        <v>24667.419000000002</v>
      </c>
    </row>
    <row r="658" spans="1:13" x14ac:dyDescent="0.35">
      <c r="A658" t="s">
        <v>9</v>
      </c>
      <c r="B658" t="s">
        <v>7</v>
      </c>
      <c r="C658" t="s">
        <v>11</v>
      </c>
      <c r="H658">
        <f>IF(B658="female", 0, 1)</f>
        <v>0</v>
      </c>
      <c r="I658">
        <f>IF(C658= "yes", 1, 0)</f>
        <v>0</v>
      </c>
      <c r="J658">
        <v>26</v>
      </c>
      <c r="K658">
        <v>42.4</v>
      </c>
      <c r="L658">
        <v>1</v>
      </c>
      <c r="M658">
        <v>3410.3240000000001</v>
      </c>
    </row>
    <row r="659" spans="1:13" x14ac:dyDescent="0.35">
      <c r="A659" t="s">
        <v>13</v>
      </c>
      <c r="B659" t="s">
        <v>10</v>
      </c>
      <c r="C659" t="s">
        <v>11</v>
      </c>
      <c r="H659">
        <f>IF(B659="female", 0, 1)</f>
        <v>1</v>
      </c>
      <c r="I659">
        <f>IF(C659= "yes", 1, 0)</f>
        <v>0</v>
      </c>
      <c r="J659">
        <v>27</v>
      </c>
      <c r="K659">
        <v>33.155000000000001</v>
      </c>
      <c r="L659">
        <v>2</v>
      </c>
      <c r="M659">
        <v>4058.71245</v>
      </c>
    </row>
    <row r="660" spans="1:13" x14ac:dyDescent="0.35">
      <c r="A660" t="s">
        <v>14</v>
      </c>
      <c r="B660" t="s">
        <v>7</v>
      </c>
      <c r="C660" t="s">
        <v>11</v>
      </c>
      <c r="H660">
        <f>IF(B660="female", 0, 1)</f>
        <v>0</v>
      </c>
      <c r="I660">
        <f>IF(C660= "yes", 1, 0)</f>
        <v>0</v>
      </c>
      <c r="J660">
        <v>48</v>
      </c>
      <c r="K660">
        <v>35.909999999999997</v>
      </c>
      <c r="L660">
        <v>1</v>
      </c>
      <c r="M660">
        <v>26392.260289999998</v>
      </c>
    </row>
    <row r="661" spans="1:13" x14ac:dyDescent="0.35">
      <c r="A661" t="s">
        <v>14</v>
      </c>
      <c r="B661" t="s">
        <v>7</v>
      </c>
      <c r="C661" t="s">
        <v>11</v>
      </c>
      <c r="H661">
        <f>IF(B661="female", 0, 1)</f>
        <v>0</v>
      </c>
      <c r="I661">
        <f>IF(C661= "yes", 1, 0)</f>
        <v>0</v>
      </c>
      <c r="J661">
        <v>57</v>
      </c>
      <c r="K661">
        <v>28.785</v>
      </c>
      <c r="L661">
        <v>4</v>
      </c>
      <c r="M661">
        <v>14394.398150000001</v>
      </c>
    </row>
    <row r="662" spans="1:13" x14ac:dyDescent="0.35">
      <c r="A662" t="s">
        <v>12</v>
      </c>
      <c r="B662" t="s">
        <v>10</v>
      </c>
      <c r="C662" t="s">
        <v>11</v>
      </c>
      <c r="H662">
        <f>IF(B662="female", 0, 1)</f>
        <v>1</v>
      </c>
      <c r="I662">
        <f>IF(C662= "yes", 1, 0)</f>
        <v>0</v>
      </c>
      <c r="J662">
        <v>37</v>
      </c>
      <c r="K662">
        <v>46.53</v>
      </c>
      <c r="L662">
        <v>3</v>
      </c>
      <c r="M662">
        <v>6435.6237000000001</v>
      </c>
    </row>
    <row r="663" spans="1:13" x14ac:dyDescent="0.35">
      <c r="A663" t="s">
        <v>12</v>
      </c>
      <c r="B663" t="s">
        <v>7</v>
      </c>
      <c r="C663" t="s">
        <v>11</v>
      </c>
      <c r="H663">
        <f>IF(B663="female", 0, 1)</f>
        <v>0</v>
      </c>
      <c r="I663">
        <f>IF(C663= "yes", 1, 0)</f>
        <v>0</v>
      </c>
      <c r="J663">
        <v>57</v>
      </c>
      <c r="K663">
        <v>23.98</v>
      </c>
      <c r="L663">
        <v>1</v>
      </c>
      <c r="M663">
        <v>22192.437109999999</v>
      </c>
    </row>
    <row r="664" spans="1:13" x14ac:dyDescent="0.35">
      <c r="A664" t="s">
        <v>14</v>
      </c>
      <c r="B664" t="s">
        <v>7</v>
      </c>
      <c r="C664" t="s">
        <v>11</v>
      </c>
      <c r="H664">
        <f>IF(B664="female", 0, 1)</f>
        <v>0</v>
      </c>
      <c r="I664">
        <f>IF(C664= "yes", 1, 0)</f>
        <v>0</v>
      </c>
      <c r="J664">
        <v>32</v>
      </c>
      <c r="K664">
        <v>31.54</v>
      </c>
      <c r="L664">
        <v>1</v>
      </c>
      <c r="M664">
        <v>5148.5526</v>
      </c>
    </row>
    <row r="665" spans="1:13" x14ac:dyDescent="0.35">
      <c r="A665" t="s">
        <v>12</v>
      </c>
      <c r="B665" t="s">
        <v>10</v>
      </c>
      <c r="C665" t="s">
        <v>11</v>
      </c>
      <c r="H665">
        <f>IF(B665="female", 0, 1)</f>
        <v>1</v>
      </c>
      <c r="I665">
        <f>IF(C665= "yes", 1, 0)</f>
        <v>0</v>
      </c>
      <c r="J665">
        <v>18</v>
      </c>
      <c r="K665">
        <v>33.659999999999997</v>
      </c>
      <c r="L665">
        <v>0</v>
      </c>
      <c r="M665">
        <v>1136.3994</v>
      </c>
    </row>
    <row r="666" spans="1:13" x14ac:dyDescent="0.35">
      <c r="A666" t="s">
        <v>12</v>
      </c>
      <c r="B666" t="s">
        <v>7</v>
      </c>
      <c r="C666" t="s">
        <v>8</v>
      </c>
      <c r="H666">
        <f>IF(B666="female", 0, 1)</f>
        <v>0</v>
      </c>
      <c r="I666">
        <f>IF(C666= "yes", 1, 0)</f>
        <v>1</v>
      </c>
      <c r="J666">
        <v>64</v>
      </c>
      <c r="K666">
        <v>22.99</v>
      </c>
      <c r="L666">
        <v>0</v>
      </c>
      <c r="M666">
        <v>27037.914100000002</v>
      </c>
    </row>
    <row r="667" spans="1:13" x14ac:dyDescent="0.35">
      <c r="A667" t="s">
        <v>12</v>
      </c>
      <c r="B667" t="s">
        <v>10</v>
      </c>
      <c r="C667" t="s">
        <v>8</v>
      </c>
      <c r="H667">
        <f>IF(B667="female", 0, 1)</f>
        <v>1</v>
      </c>
      <c r="I667">
        <f>IF(C667= "yes", 1, 0)</f>
        <v>1</v>
      </c>
      <c r="J667">
        <v>43</v>
      </c>
      <c r="K667">
        <v>38.06</v>
      </c>
      <c r="L667">
        <v>2</v>
      </c>
      <c r="M667">
        <v>42560.430399999997</v>
      </c>
    </row>
    <row r="668" spans="1:13" x14ac:dyDescent="0.35">
      <c r="A668" t="s">
        <v>9</v>
      </c>
      <c r="B668" t="s">
        <v>10</v>
      </c>
      <c r="C668" t="s">
        <v>11</v>
      </c>
      <c r="H668">
        <f>IF(B668="female", 0, 1)</f>
        <v>1</v>
      </c>
      <c r="I668">
        <f>IF(C668= "yes", 1, 0)</f>
        <v>0</v>
      </c>
      <c r="J668">
        <v>49</v>
      </c>
      <c r="K668">
        <v>28.7</v>
      </c>
      <c r="L668">
        <v>1</v>
      </c>
      <c r="M668">
        <v>8703.4560000000001</v>
      </c>
    </row>
    <row r="669" spans="1:13" x14ac:dyDescent="0.35">
      <c r="A669" t="s">
        <v>13</v>
      </c>
      <c r="B669" t="s">
        <v>7</v>
      </c>
      <c r="C669" t="s">
        <v>8</v>
      </c>
      <c r="H669">
        <f>IF(B669="female", 0, 1)</f>
        <v>0</v>
      </c>
      <c r="I669">
        <f>IF(C669= "yes", 1, 0)</f>
        <v>1</v>
      </c>
      <c r="J669">
        <v>40</v>
      </c>
      <c r="K669">
        <v>32.774999999999999</v>
      </c>
      <c r="L669">
        <v>2</v>
      </c>
      <c r="M669">
        <v>40003.332249999999</v>
      </c>
    </row>
    <row r="670" spans="1:13" x14ac:dyDescent="0.35">
      <c r="A670" t="s">
        <v>14</v>
      </c>
      <c r="B670" t="s">
        <v>10</v>
      </c>
      <c r="C670" t="s">
        <v>8</v>
      </c>
      <c r="H670">
        <f>IF(B670="female", 0, 1)</f>
        <v>1</v>
      </c>
      <c r="I670">
        <f>IF(C670= "yes", 1, 0)</f>
        <v>1</v>
      </c>
      <c r="J670">
        <v>62</v>
      </c>
      <c r="K670">
        <v>32.015000000000001</v>
      </c>
      <c r="L670">
        <v>0</v>
      </c>
      <c r="M670">
        <v>45710.207849999999</v>
      </c>
    </row>
    <row r="671" spans="1:13" x14ac:dyDescent="0.35">
      <c r="A671" t="s">
        <v>12</v>
      </c>
      <c r="B671" t="s">
        <v>7</v>
      </c>
      <c r="C671" t="s">
        <v>11</v>
      </c>
      <c r="H671">
        <f>IF(B671="female", 0, 1)</f>
        <v>0</v>
      </c>
      <c r="I671">
        <f>IF(C671= "yes", 1, 0)</f>
        <v>0</v>
      </c>
      <c r="J671">
        <v>40</v>
      </c>
      <c r="K671">
        <v>29.81</v>
      </c>
      <c r="L671">
        <v>1</v>
      </c>
      <c r="M671">
        <v>6500.2358999999997</v>
      </c>
    </row>
    <row r="672" spans="1:13" x14ac:dyDescent="0.35">
      <c r="A672" t="s">
        <v>12</v>
      </c>
      <c r="B672" t="s">
        <v>10</v>
      </c>
      <c r="C672" t="s">
        <v>11</v>
      </c>
      <c r="H672">
        <f>IF(B672="female", 0, 1)</f>
        <v>1</v>
      </c>
      <c r="I672">
        <f>IF(C672= "yes", 1, 0)</f>
        <v>0</v>
      </c>
      <c r="J672">
        <v>30</v>
      </c>
      <c r="K672">
        <v>31.57</v>
      </c>
      <c r="L672">
        <v>3</v>
      </c>
      <c r="M672">
        <v>4837.5823</v>
      </c>
    </row>
    <row r="673" spans="1:13" x14ac:dyDescent="0.35">
      <c r="A673" t="s">
        <v>14</v>
      </c>
      <c r="B673" t="s">
        <v>7</v>
      </c>
      <c r="C673" t="s">
        <v>11</v>
      </c>
      <c r="H673">
        <f>IF(B673="female", 0, 1)</f>
        <v>0</v>
      </c>
      <c r="I673">
        <f>IF(C673= "yes", 1, 0)</f>
        <v>0</v>
      </c>
      <c r="J673">
        <v>29</v>
      </c>
      <c r="K673">
        <v>31.16</v>
      </c>
      <c r="L673">
        <v>0</v>
      </c>
      <c r="M673">
        <v>3943.5954000000002</v>
      </c>
    </row>
    <row r="674" spans="1:13" x14ac:dyDescent="0.35">
      <c r="A674" t="s">
        <v>12</v>
      </c>
      <c r="B674" t="s">
        <v>10</v>
      </c>
      <c r="C674" t="s">
        <v>11</v>
      </c>
      <c r="H674">
        <f>IF(B674="female", 0, 1)</f>
        <v>1</v>
      </c>
      <c r="I674">
        <f>IF(C674= "yes", 1, 0)</f>
        <v>0</v>
      </c>
      <c r="J674">
        <v>36</v>
      </c>
      <c r="K674">
        <v>29.7</v>
      </c>
      <c r="L674">
        <v>0</v>
      </c>
      <c r="M674">
        <v>4399.7309999999998</v>
      </c>
    </row>
    <row r="675" spans="1:13" x14ac:dyDescent="0.35">
      <c r="A675" t="s">
        <v>12</v>
      </c>
      <c r="B675" t="s">
        <v>7</v>
      </c>
      <c r="C675" t="s">
        <v>11</v>
      </c>
      <c r="H675">
        <f>IF(B675="female", 0, 1)</f>
        <v>0</v>
      </c>
      <c r="I675">
        <f>IF(C675= "yes", 1, 0)</f>
        <v>0</v>
      </c>
      <c r="J675">
        <v>41</v>
      </c>
      <c r="K675">
        <v>31.02</v>
      </c>
      <c r="L675">
        <v>0</v>
      </c>
      <c r="M675">
        <v>6185.3208000000004</v>
      </c>
    </row>
    <row r="676" spans="1:13" x14ac:dyDescent="0.35">
      <c r="A676" t="s">
        <v>12</v>
      </c>
      <c r="B676" t="s">
        <v>7</v>
      </c>
      <c r="C676" t="s">
        <v>8</v>
      </c>
      <c r="H676">
        <f>IF(B676="female", 0, 1)</f>
        <v>0</v>
      </c>
      <c r="I676">
        <f>IF(C676= "yes", 1, 0)</f>
        <v>1</v>
      </c>
      <c r="J676">
        <v>44</v>
      </c>
      <c r="K676">
        <v>43.89</v>
      </c>
      <c r="L676">
        <v>2</v>
      </c>
      <c r="M676">
        <v>46200.985099999998</v>
      </c>
    </row>
    <row r="677" spans="1:13" x14ac:dyDescent="0.35">
      <c r="A677" t="s">
        <v>13</v>
      </c>
      <c r="B677" t="s">
        <v>10</v>
      </c>
      <c r="C677" t="s">
        <v>11</v>
      </c>
      <c r="H677">
        <f>IF(B677="female", 0, 1)</f>
        <v>1</v>
      </c>
      <c r="I677">
        <f>IF(C677= "yes", 1, 0)</f>
        <v>0</v>
      </c>
      <c r="J677">
        <v>45</v>
      </c>
      <c r="K677">
        <v>21.375</v>
      </c>
      <c r="L677">
        <v>0</v>
      </c>
      <c r="M677">
        <v>7222.7862500000001</v>
      </c>
    </row>
    <row r="678" spans="1:13" x14ac:dyDescent="0.35">
      <c r="A678" t="s">
        <v>12</v>
      </c>
      <c r="B678" t="s">
        <v>7</v>
      </c>
      <c r="C678" t="s">
        <v>11</v>
      </c>
      <c r="H678">
        <f>IF(B678="female", 0, 1)</f>
        <v>0</v>
      </c>
      <c r="I678">
        <f>IF(C678= "yes", 1, 0)</f>
        <v>0</v>
      </c>
      <c r="J678">
        <v>55</v>
      </c>
      <c r="K678">
        <v>40.81</v>
      </c>
      <c r="L678">
        <v>3</v>
      </c>
      <c r="M678">
        <v>12485.8009</v>
      </c>
    </row>
    <row r="679" spans="1:13" x14ac:dyDescent="0.35">
      <c r="A679" t="s">
        <v>13</v>
      </c>
      <c r="B679" t="s">
        <v>10</v>
      </c>
      <c r="C679" t="s">
        <v>8</v>
      </c>
      <c r="H679">
        <f>IF(B679="female", 0, 1)</f>
        <v>1</v>
      </c>
      <c r="I679">
        <f>IF(C679= "yes", 1, 0)</f>
        <v>1</v>
      </c>
      <c r="J679">
        <v>60</v>
      </c>
      <c r="K679">
        <v>31.35</v>
      </c>
      <c r="L679">
        <v>3</v>
      </c>
      <c r="M679">
        <v>46130.5265</v>
      </c>
    </row>
    <row r="680" spans="1:13" x14ac:dyDescent="0.35">
      <c r="A680" t="s">
        <v>9</v>
      </c>
      <c r="B680" t="s">
        <v>10</v>
      </c>
      <c r="C680" t="s">
        <v>11</v>
      </c>
      <c r="H680">
        <f>IF(B680="female", 0, 1)</f>
        <v>1</v>
      </c>
      <c r="I680">
        <f>IF(C680= "yes", 1, 0)</f>
        <v>0</v>
      </c>
      <c r="J680">
        <v>56</v>
      </c>
      <c r="K680">
        <v>36.1</v>
      </c>
      <c r="L680">
        <v>3</v>
      </c>
      <c r="M680">
        <v>12363.547</v>
      </c>
    </row>
    <row r="681" spans="1:13" x14ac:dyDescent="0.35">
      <c r="A681" t="s">
        <v>13</v>
      </c>
      <c r="B681" t="s">
        <v>7</v>
      </c>
      <c r="C681" t="s">
        <v>11</v>
      </c>
      <c r="H681">
        <f>IF(B681="female", 0, 1)</f>
        <v>0</v>
      </c>
      <c r="I681">
        <f>IF(C681= "yes", 1, 0)</f>
        <v>0</v>
      </c>
      <c r="J681">
        <v>49</v>
      </c>
      <c r="K681">
        <v>23.18</v>
      </c>
      <c r="L681">
        <v>2</v>
      </c>
      <c r="M681">
        <v>10156.7832</v>
      </c>
    </row>
    <row r="682" spans="1:13" x14ac:dyDescent="0.35">
      <c r="A682" t="s">
        <v>9</v>
      </c>
      <c r="B682" t="s">
        <v>7</v>
      </c>
      <c r="C682" t="s">
        <v>11</v>
      </c>
      <c r="H682">
        <f>IF(B682="female", 0, 1)</f>
        <v>0</v>
      </c>
      <c r="I682">
        <f>IF(C682= "yes", 1, 0)</f>
        <v>0</v>
      </c>
      <c r="J682">
        <v>21</v>
      </c>
      <c r="K682">
        <v>17.399999999999999</v>
      </c>
      <c r="L682">
        <v>1</v>
      </c>
      <c r="M682">
        <v>2585.2689999999998</v>
      </c>
    </row>
    <row r="683" spans="1:13" x14ac:dyDescent="0.35">
      <c r="A683" t="s">
        <v>9</v>
      </c>
      <c r="B683" t="s">
        <v>10</v>
      </c>
      <c r="C683" t="s">
        <v>11</v>
      </c>
      <c r="H683">
        <f>IF(B683="female", 0, 1)</f>
        <v>1</v>
      </c>
      <c r="I683">
        <f>IF(C683= "yes", 1, 0)</f>
        <v>0</v>
      </c>
      <c r="J683">
        <v>19</v>
      </c>
      <c r="K683">
        <v>20.3</v>
      </c>
      <c r="L683">
        <v>0</v>
      </c>
      <c r="M683">
        <v>1242.26</v>
      </c>
    </row>
    <row r="684" spans="1:13" x14ac:dyDescent="0.35">
      <c r="A684" t="s">
        <v>9</v>
      </c>
      <c r="B684" t="s">
        <v>10</v>
      </c>
      <c r="C684" t="s">
        <v>8</v>
      </c>
      <c r="H684">
        <f>IF(B684="female", 0, 1)</f>
        <v>1</v>
      </c>
      <c r="I684">
        <f>IF(C684= "yes", 1, 0)</f>
        <v>1</v>
      </c>
      <c r="J684">
        <v>39</v>
      </c>
      <c r="K684">
        <v>35.299999999999997</v>
      </c>
      <c r="L684">
        <v>2</v>
      </c>
      <c r="M684">
        <v>40103.89</v>
      </c>
    </row>
    <row r="685" spans="1:13" x14ac:dyDescent="0.35">
      <c r="A685" t="s">
        <v>13</v>
      </c>
      <c r="B685" t="s">
        <v>10</v>
      </c>
      <c r="C685" t="s">
        <v>11</v>
      </c>
      <c r="H685">
        <f>IF(B685="female", 0, 1)</f>
        <v>1</v>
      </c>
      <c r="I685">
        <f>IF(C685= "yes", 1, 0)</f>
        <v>0</v>
      </c>
      <c r="J685">
        <v>53</v>
      </c>
      <c r="K685">
        <v>24.32</v>
      </c>
      <c r="L685">
        <v>0</v>
      </c>
      <c r="M685">
        <v>9863.4717999999993</v>
      </c>
    </row>
    <row r="686" spans="1:13" x14ac:dyDescent="0.35">
      <c r="A686" t="s">
        <v>9</v>
      </c>
      <c r="B686" t="s">
        <v>7</v>
      </c>
      <c r="C686" t="s">
        <v>11</v>
      </c>
      <c r="H686">
        <f>IF(B686="female", 0, 1)</f>
        <v>0</v>
      </c>
      <c r="I686">
        <f>IF(C686= "yes", 1, 0)</f>
        <v>0</v>
      </c>
      <c r="J686">
        <v>33</v>
      </c>
      <c r="K686">
        <v>18.5</v>
      </c>
      <c r="L686">
        <v>1</v>
      </c>
      <c r="M686">
        <v>4766.0219999999999</v>
      </c>
    </row>
    <row r="687" spans="1:13" x14ac:dyDescent="0.35">
      <c r="A687" t="s">
        <v>14</v>
      </c>
      <c r="B687" t="s">
        <v>10</v>
      </c>
      <c r="C687" t="s">
        <v>11</v>
      </c>
      <c r="H687">
        <f>IF(B687="female", 0, 1)</f>
        <v>1</v>
      </c>
      <c r="I687">
        <f>IF(C687= "yes", 1, 0)</f>
        <v>0</v>
      </c>
      <c r="J687">
        <v>53</v>
      </c>
      <c r="K687">
        <v>26.41</v>
      </c>
      <c r="L687">
        <v>2</v>
      </c>
      <c r="M687">
        <v>11244.376899999999</v>
      </c>
    </row>
    <row r="688" spans="1:13" x14ac:dyDescent="0.35">
      <c r="A688" t="s">
        <v>14</v>
      </c>
      <c r="B688" t="s">
        <v>10</v>
      </c>
      <c r="C688" t="s">
        <v>11</v>
      </c>
      <c r="H688">
        <f>IF(B688="female", 0, 1)</f>
        <v>1</v>
      </c>
      <c r="I688">
        <f>IF(C688= "yes", 1, 0)</f>
        <v>0</v>
      </c>
      <c r="J688">
        <v>42</v>
      </c>
      <c r="K688">
        <v>26.125</v>
      </c>
      <c r="L688">
        <v>2</v>
      </c>
      <c r="M688">
        <v>7729.6457499999997</v>
      </c>
    </row>
    <row r="689" spans="1:13" x14ac:dyDescent="0.35">
      <c r="A689" t="s">
        <v>12</v>
      </c>
      <c r="B689" t="s">
        <v>10</v>
      </c>
      <c r="C689" t="s">
        <v>11</v>
      </c>
      <c r="H689">
        <f>IF(B689="female", 0, 1)</f>
        <v>1</v>
      </c>
      <c r="I689">
        <f>IF(C689= "yes", 1, 0)</f>
        <v>0</v>
      </c>
      <c r="J689">
        <v>40</v>
      </c>
      <c r="K689">
        <v>41.69</v>
      </c>
      <c r="L689">
        <v>0</v>
      </c>
      <c r="M689">
        <v>5438.7491</v>
      </c>
    </row>
    <row r="690" spans="1:13" x14ac:dyDescent="0.35">
      <c r="A690" t="s">
        <v>9</v>
      </c>
      <c r="B690" t="s">
        <v>7</v>
      </c>
      <c r="C690" t="s">
        <v>11</v>
      </c>
      <c r="H690">
        <f>IF(B690="female", 0, 1)</f>
        <v>0</v>
      </c>
      <c r="I690">
        <f>IF(C690= "yes", 1, 0)</f>
        <v>0</v>
      </c>
      <c r="J690">
        <v>47</v>
      </c>
      <c r="K690">
        <v>24.1</v>
      </c>
      <c r="L690">
        <v>1</v>
      </c>
      <c r="M690">
        <v>26236.579969999999</v>
      </c>
    </row>
    <row r="691" spans="1:13" x14ac:dyDescent="0.35">
      <c r="A691" t="s">
        <v>12</v>
      </c>
      <c r="B691" t="s">
        <v>10</v>
      </c>
      <c r="C691" t="s">
        <v>8</v>
      </c>
      <c r="H691">
        <f>IF(B691="female", 0, 1)</f>
        <v>1</v>
      </c>
      <c r="I691">
        <f>IF(C691= "yes", 1, 0)</f>
        <v>1</v>
      </c>
      <c r="J691">
        <v>27</v>
      </c>
      <c r="K691">
        <v>31.13</v>
      </c>
      <c r="L691">
        <v>1</v>
      </c>
      <c r="M691">
        <v>34806.467700000001</v>
      </c>
    </row>
    <row r="692" spans="1:13" x14ac:dyDescent="0.35">
      <c r="A692" t="s">
        <v>14</v>
      </c>
      <c r="B692" t="s">
        <v>10</v>
      </c>
      <c r="C692" t="s">
        <v>11</v>
      </c>
      <c r="H692">
        <f>IF(B692="female", 0, 1)</f>
        <v>1</v>
      </c>
      <c r="I692">
        <f>IF(C692= "yes", 1, 0)</f>
        <v>0</v>
      </c>
      <c r="J692">
        <v>21</v>
      </c>
      <c r="K692">
        <v>27.36</v>
      </c>
      <c r="L692">
        <v>0</v>
      </c>
      <c r="M692">
        <v>2104.1134000000002</v>
      </c>
    </row>
    <row r="693" spans="1:13" x14ac:dyDescent="0.35">
      <c r="A693" t="s">
        <v>9</v>
      </c>
      <c r="B693" t="s">
        <v>10</v>
      </c>
      <c r="C693" t="s">
        <v>11</v>
      </c>
      <c r="H693">
        <f>IF(B693="female", 0, 1)</f>
        <v>1</v>
      </c>
      <c r="I693">
        <f>IF(C693= "yes", 1, 0)</f>
        <v>0</v>
      </c>
      <c r="J693">
        <v>47</v>
      </c>
      <c r="K693">
        <v>36.200000000000003</v>
      </c>
      <c r="L693">
        <v>1</v>
      </c>
      <c r="M693">
        <v>8068.1850000000004</v>
      </c>
    </row>
    <row r="694" spans="1:13" x14ac:dyDescent="0.35">
      <c r="A694" t="s">
        <v>13</v>
      </c>
      <c r="B694" t="s">
        <v>10</v>
      </c>
      <c r="C694" t="s">
        <v>11</v>
      </c>
      <c r="H694">
        <f>IF(B694="female", 0, 1)</f>
        <v>1</v>
      </c>
      <c r="I694">
        <f>IF(C694= "yes", 1, 0)</f>
        <v>0</v>
      </c>
      <c r="J694">
        <v>20</v>
      </c>
      <c r="K694">
        <v>32.395000000000003</v>
      </c>
      <c r="L694">
        <v>1</v>
      </c>
      <c r="M694">
        <v>2362.2290499999999</v>
      </c>
    </row>
    <row r="695" spans="1:13" x14ac:dyDescent="0.35">
      <c r="A695" t="s">
        <v>13</v>
      </c>
      <c r="B695" t="s">
        <v>10</v>
      </c>
      <c r="C695" t="s">
        <v>11</v>
      </c>
      <c r="H695">
        <f>IF(B695="female", 0, 1)</f>
        <v>1</v>
      </c>
      <c r="I695">
        <f>IF(C695= "yes", 1, 0)</f>
        <v>0</v>
      </c>
      <c r="J695">
        <v>24</v>
      </c>
      <c r="K695">
        <v>23.655000000000001</v>
      </c>
      <c r="L695">
        <v>0</v>
      </c>
      <c r="M695">
        <v>2352.9684499999998</v>
      </c>
    </row>
    <row r="696" spans="1:13" x14ac:dyDescent="0.35">
      <c r="A696" t="s">
        <v>9</v>
      </c>
      <c r="B696" t="s">
        <v>7</v>
      </c>
      <c r="C696" t="s">
        <v>11</v>
      </c>
      <c r="H696">
        <f>IF(B696="female", 0, 1)</f>
        <v>0</v>
      </c>
      <c r="I696">
        <f>IF(C696= "yes", 1, 0)</f>
        <v>0</v>
      </c>
      <c r="J696">
        <v>27</v>
      </c>
      <c r="K696">
        <v>34.799999999999997</v>
      </c>
      <c r="L696">
        <v>1</v>
      </c>
      <c r="M696">
        <v>3577.9989999999998</v>
      </c>
    </row>
    <row r="697" spans="1:13" x14ac:dyDescent="0.35">
      <c r="A697" t="s">
        <v>13</v>
      </c>
      <c r="B697" t="s">
        <v>7</v>
      </c>
      <c r="C697" t="s">
        <v>11</v>
      </c>
      <c r="H697">
        <f>IF(B697="female", 0, 1)</f>
        <v>0</v>
      </c>
      <c r="I697">
        <f>IF(C697= "yes", 1, 0)</f>
        <v>0</v>
      </c>
      <c r="J697">
        <v>26</v>
      </c>
      <c r="K697">
        <v>40.185000000000002</v>
      </c>
      <c r="L697">
        <v>0</v>
      </c>
      <c r="M697">
        <v>3201.2451500000002</v>
      </c>
    </row>
    <row r="698" spans="1:13" x14ac:dyDescent="0.35">
      <c r="A698" t="s">
        <v>14</v>
      </c>
      <c r="B698" t="s">
        <v>7</v>
      </c>
      <c r="C698" t="s">
        <v>11</v>
      </c>
      <c r="H698">
        <f>IF(B698="female", 0, 1)</f>
        <v>0</v>
      </c>
      <c r="I698">
        <f>IF(C698= "yes", 1, 0)</f>
        <v>0</v>
      </c>
      <c r="J698">
        <v>53</v>
      </c>
      <c r="K698">
        <v>32.299999999999997</v>
      </c>
      <c r="L698">
        <v>2</v>
      </c>
      <c r="M698">
        <v>29186.482360000002</v>
      </c>
    </row>
    <row r="699" spans="1:13" x14ac:dyDescent="0.35">
      <c r="A699" t="s">
        <v>12</v>
      </c>
      <c r="B699" t="s">
        <v>10</v>
      </c>
      <c r="C699" t="s">
        <v>8</v>
      </c>
      <c r="H699">
        <f>IF(B699="female", 0, 1)</f>
        <v>1</v>
      </c>
      <c r="I699">
        <f>IF(C699= "yes", 1, 0)</f>
        <v>1</v>
      </c>
      <c r="J699">
        <v>41</v>
      </c>
      <c r="K699">
        <v>35.75</v>
      </c>
      <c r="L699">
        <v>1</v>
      </c>
      <c r="M699">
        <v>40273.645499999999</v>
      </c>
    </row>
    <row r="700" spans="1:13" x14ac:dyDescent="0.35">
      <c r="A700" t="s">
        <v>13</v>
      </c>
      <c r="B700" t="s">
        <v>10</v>
      </c>
      <c r="C700" t="s">
        <v>11</v>
      </c>
      <c r="H700">
        <f>IF(B700="female", 0, 1)</f>
        <v>1</v>
      </c>
      <c r="I700">
        <f>IF(C700= "yes", 1, 0)</f>
        <v>0</v>
      </c>
      <c r="J700">
        <v>56</v>
      </c>
      <c r="K700">
        <v>33.725000000000001</v>
      </c>
      <c r="L700">
        <v>0</v>
      </c>
      <c r="M700">
        <v>10976.24575</v>
      </c>
    </row>
    <row r="701" spans="1:13" x14ac:dyDescent="0.35">
      <c r="A701" t="s">
        <v>12</v>
      </c>
      <c r="B701" t="s">
        <v>7</v>
      </c>
      <c r="C701" t="s">
        <v>11</v>
      </c>
      <c r="H701">
        <f>IF(B701="female", 0, 1)</f>
        <v>0</v>
      </c>
      <c r="I701">
        <f>IF(C701= "yes", 1, 0)</f>
        <v>0</v>
      </c>
      <c r="J701">
        <v>23</v>
      </c>
      <c r="K701">
        <v>39.270000000000003</v>
      </c>
      <c r="L701">
        <v>2</v>
      </c>
      <c r="M701">
        <v>3500.6122999999998</v>
      </c>
    </row>
    <row r="702" spans="1:13" x14ac:dyDescent="0.35">
      <c r="A702" t="s">
        <v>12</v>
      </c>
      <c r="B702" t="s">
        <v>7</v>
      </c>
      <c r="C702" t="s">
        <v>11</v>
      </c>
      <c r="H702">
        <f>IF(B702="female", 0, 1)</f>
        <v>0</v>
      </c>
      <c r="I702">
        <f>IF(C702= "yes", 1, 0)</f>
        <v>0</v>
      </c>
      <c r="J702">
        <v>21</v>
      </c>
      <c r="K702">
        <v>34.869999999999997</v>
      </c>
      <c r="L702">
        <v>0</v>
      </c>
      <c r="M702">
        <v>2020.5523000000001</v>
      </c>
    </row>
    <row r="703" spans="1:13" x14ac:dyDescent="0.35">
      <c r="A703" t="s">
        <v>14</v>
      </c>
      <c r="B703" t="s">
        <v>7</v>
      </c>
      <c r="C703" t="s">
        <v>11</v>
      </c>
      <c r="H703">
        <f>IF(B703="female", 0, 1)</f>
        <v>0</v>
      </c>
      <c r="I703">
        <f>IF(C703= "yes", 1, 0)</f>
        <v>0</v>
      </c>
      <c r="J703">
        <v>50</v>
      </c>
      <c r="K703">
        <v>44.744999999999997</v>
      </c>
      <c r="L703">
        <v>0</v>
      </c>
      <c r="M703">
        <v>9541.6955500000004</v>
      </c>
    </row>
    <row r="704" spans="1:13" x14ac:dyDescent="0.35">
      <c r="A704" t="s">
        <v>12</v>
      </c>
      <c r="B704" t="s">
        <v>10</v>
      </c>
      <c r="C704" t="s">
        <v>11</v>
      </c>
      <c r="H704">
        <f>IF(B704="female", 0, 1)</f>
        <v>1</v>
      </c>
      <c r="I704">
        <f>IF(C704= "yes", 1, 0)</f>
        <v>0</v>
      </c>
      <c r="J704">
        <v>53</v>
      </c>
      <c r="K704">
        <v>41.47</v>
      </c>
      <c r="L704">
        <v>0</v>
      </c>
      <c r="M704">
        <v>9504.3102999999992</v>
      </c>
    </row>
    <row r="705" spans="1:13" x14ac:dyDescent="0.35">
      <c r="A705" t="s">
        <v>13</v>
      </c>
      <c r="B705" t="s">
        <v>7</v>
      </c>
      <c r="C705" t="s">
        <v>11</v>
      </c>
      <c r="H705">
        <f>IF(B705="female", 0, 1)</f>
        <v>0</v>
      </c>
      <c r="I705">
        <f>IF(C705= "yes", 1, 0)</f>
        <v>0</v>
      </c>
      <c r="J705">
        <v>34</v>
      </c>
      <c r="K705">
        <v>26.41</v>
      </c>
      <c r="L705">
        <v>1</v>
      </c>
      <c r="M705">
        <v>5385.3379000000004</v>
      </c>
    </row>
    <row r="706" spans="1:13" x14ac:dyDescent="0.35">
      <c r="A706" t="s">
        <v>13</v>
      </c>
      <c r="B706" t="s">
        <v>7</v>
      </c>
      <c r="C706" t="s">
        <v>11</v>
      </c>
      <c r="H706">
        <f>IF(B706="female", 0, 1)</f>
        <v>0</v>
      </c>
      <c r="I706">
        <f>IF(C706= "yes", 1, 0)</f>
        <v>0</v>
      </c>
      <c r="J706">
        <v>47</v>
      </c>
      <c r="K706">
        <v>29.545000000000002</v>
      </c>
      <c r="L706">
        <v>1</v>
      </c>
      <c r="M706">
        <v>8930.9345499999999</v>
      </c>
    </row>
    <row r="707" spans="1:13" x14ac:dyDescent="0.35">
      <c r="A707" t="s">
        <v>9</v>
      </c>
      <c r="B707" t="s">
        <v>7</v>
      </c>
      <c r="C707" t="s">
        <v>11</v>
      </c>
      <c r="H707">
        <f>IF(B707="female", 0, 1)</f>
        <v>0</v>
      </c>
      <c r="I707">
        <f>IF(C707= "yes", 1, 0)</f>
        <v>0</v>
      </c>
      <c r="J707">
        <v>33</v>
      </c>
      <c r="K707">
        <v>32.9</v>
      </c>
      <c r="L707">
        <v>2</v>
      </c>
      <c r="M707">
        <v>5375.0379999999996</v>
      </c>
    </row>
    <row r="708" spans="1:13" x14ac:dyDescent="0.35">
      <c r="A708" t="s">
        <v>12</v>
      </c>
      <c r="B708" t="s">
        <v>7</v>
      </c>
      <c r="C708" t="s">
        <v>8</v>
      </c>
      <c r="H708">
        <f>IF(B708="female", 0, 1)</f>
        <v>0</v>
      </c>
      <c r="I708">
        <f>IF(C708= "yes", 1, 0)</f>
        <v>1</v>
      </c>
      <c r="J708">
        <v>51</v>
      </c>
      <c r="K708">
        <v>38.06</v>
      </c>
      <c r="L708">
        <v>0</v>
      </c>
      <c r="M708">
        <v>44400.4064</v>
      </c>
    </row>
    <row r="709" spans="1:13" x14ac:dyDescent="0.35">
      <c r="A709" t="s">
        <v>13</v>
      </c>
      <c r="B709" t="s">
        <v>10</v>
      </c>
      <c r="C709" t="s">
        <v>11</v>
      </c>
      <c r="H709">
        <f>IF(B709="female", 0, 1)</f>
        <v>1</v>
      </c>
      <c r="I709">
        <f>IF(C709= "yes", 1, 0)</f>
        <v>0</v>
      </c>
      <c r="J709">
        <v>49</v>
      </c>
      <c r="K709">
        <v>28.69</v>
      </c>
      <c r="L709">
        <v>3</v>
      </c>
      <c r="M709">
        <v>10264.4421</v>
      </c>
    </row>
    <row r="710" spans="1:13" x14ac:dyDescent="0.35">
      <c r="A710" t="s">
        <v>14</v>
      </c>
      <c r="B710" t="s">
        <v>7</v>
      </c>
      <c r="C710" t="s">
        <v>11</v>
      </c>
      <c r="H710">
        <f>IF(B710="female", 0, 1)</f>
        <v>0</v>
      </c>
      <c r="I710">
        <f>IF(C710= "yes", 1, 0)</f>
        <v>0</v>
      </c>
      <c r="J710">
        <v>31</v>
      </c>
      <c r="K710">
        <v>30.495000000000001</v>
      </c>
      <c r="L710">
        <v>3</v>
      </c>
      <c r="M710">
        <v>6113.2310500000003</v>
      </c>
    </row>
    <row r="711" spans="1:13" x14ac:dyDescent="0.35">
      <c r="A711" t="s">
        <v>14</v>
      </c>
      <c r="B711" t="s">
        <v>7</v>
      </c>
      <c r="C711" t="s">
        <v>11</v>
      </c>
      <c r="H711">
        <f>IF(B711="female", 0, 1)</f>
        <v>0</v>
      </c>
      <c r="I711">
        <f>IF(C711= "yes", 1, 0)</f>
        <v>0</v>
      </c>
      <c r="J711">
        <v>36</v>
      </c>
      <c r="K711">
        <v>27.74</v>
      </c>
      <c r="L711">
        <v>0</v>
      </c>
      <c r="M711">
        <v>5469.0065999999997</v>
      </c>
    </row>
    <row r="712" spans="1:13" x14ac:dyDescent="0.35">
      <c r="A712" t="s">
        <v>12</v>
      </c>
      <c r="B712" t="s">
        <v>10</v>
      </c>
      <c r="C712" t="s">
        <v>11</v>
      </c>
      <c r="H712">
        <f>IF(B712="female", 0, 1)</f>
        <v>1</v>
      </c>
      <c r="I712">
        <f>IF(C712= "yes", 1, 0)</f>
        <v>0</v>
      </c>
      <c r="J712">
        <v>18</v>
      </c>
      <c r="K712">
        <v>35.200000000000003</v>
      </c>
      <c r="L712">
        <v>1</v>
      </c>
      <c r="M712">
        <v>1727.54</v>
      </c>
    </row>
    <row r="713" spans="1:13" x14ac:dyDescent="0.35">
      <c r="A713" t="s">
        <v>12</v>
      </c>
      <c r="B713" t="s">
        <v>7</v>
      </c>
      <c r="C713" t="s">
        <v>11</v>
      </c>
      <c r="H713">
        <f>IF(B713="female", 0, 1)</f>
        <v>0</v>
      </c>
      <c r="I713">
        <f>IF(C713= "yes", 1, 0)</f>
        <v>0</v>
      </c>
      <c r="J713">
        <v>50</v>
      </c>
      <c r="K713">
        <v>23.54</v>
      </c>
      <c r="L713">
        <v>2</v>
      </c>
      <c r="M713">
        <v>10107.220600000001</v>
      </c>
    </row>
    <row r="714" spans="1:13" x14ac:dyDescent="0.35">
      <c r="A714" t="s">
        <v>13</v>
      </c>
      <c r="B714" t="s">
        <v>7</v>
      </c>
      <c r="C714" t="s">
        <v>11</v>
      </c>
      <c r="H714">
        <f>IF(B714="female", 0, 1)</f>
        <v>0</v>
      </c>
      <c r="I714">
        <f>IF(C714= "yes", 1, 0)</f>
        <v>0</v>
      </c>
      <c r="J714">
        <v>43</v>
      </c>
      <c r="K714">
        <v>30.684999999999999</v>
      </c>
      <c r="L714">
        <v>2</v>
      </c>
      <c r="M714">
        <v>8310.8391499999998</v>
      </c>
    </row>
    <row r="715" spans="1:13" x14ac:dyDescent="0.35">
      <c r="A715" t="s">
        <v>14</v>
      </c>
      <c r="B715" t="s">
        <v>10</v>
      </c>
      <c r="C715" t="s">
        <v>11</v>
      </c>
      <c r="H715">
        <f>IF(B715="female", 0, 1)</f>
        <v>1</v>
      </c>
      <c r="I715">
        <f>IF(C715= "yes", 1, 0)</f>
        <v>0</v>
      </c>
      <c r="J715">
        <v>20</v>
      </c>
      <c r="K715">
        <v>40.47</v>
      </c>
      <c r="L715">
        <v>0</v>
      </c>
      <c r="M715">
        <v>1984.4532999999999</v>
      </c>
    </row>
    <row r="716" spans="1:13" x14ac:dyDescent="0.35">
      <c r="A716" t="s">
        <v>9</v>
      </c>
      <c r="B716" t="s">
        <v>7</v>
      </c>
      <c r="C716" t="s">
        <v>11</v>
      </c>
      <c r="H716">
        <f>IF(B716="female", 0, 1)</f>
        <v>0</v>
      </c>
      <c r="I716">
        <f>IF(C716= "yes", 1, 0)</f>
        <v>0</v>
      </c>
      <c r="J716">
        <v>24</v>
      </c>
      <c r="K716">
        <v>22.6</v>
      </c>
      <c r="L716">
        <v>0</v>
      </c>
      <c r="M716">
        <v>2457.502</v>
      </c>
    </row>
    <row r="717" spans="1:13" x14ac:dyDescent="0.35">
      <c r="A717" t="s">
        <v>9</v>
      </c>
      <c r="B717" t="s">
        <v>10</v>
      </c>
      <c r="C717" t="s">
        <v>11</v>
      </c>
      <c r="H717">
        <f>IF(B717="female", 0, 1)</f>
        <v>1</v>
      </c>
      <c r="I717">
        <f>IF(C717= "yes", 1, 0)</f>
        <v>0</v>
      </c>
      <c r="J717">
        <v>60</v>
      </c>
      <c r="K717">
        <v>28.9</v>
      </c>
      <c r="L717">
        <v>0</v>
      </c>
      <c r="M717">
        <v>12146.971</v>
      </c>
    </row>
    <row r="718" spans="1:13" x14ac:dyDescent="0.35">
      <c r="A718" t="s">
        <v>13</v>
      </c>
      <c r="B718" t="s">
        <v>7</v>
      </c>
      <c r="C718" t="s">
        <v>11</v>
      </c>
      <c r="H718">
        <f>IF(B718="female", 0, 1)</f>
        <v>0</v>
      </c>
      <c r="I718">
        <f>IF(C718= "yes", 1, 0)</f>
        <v>0</v>
      </c>
      <c r="J718">
        <v>49</v>
      </c>
      <c r="K718">
        <v>22.61</v>
      </c>
      <c r="L718">
        <v>1</v>
      </c>
      <c r="M718">
        <v>9566.9909000000007</v>
      </c>
    </row>
    <row r="719" spans="1:13" x14ac:dyDescent="0.35">
      <c r="A719" t="s">
        <v>13</v>
      </c>
      <c r="B719" t="s">
        <v>10</v>
      </c>
      <c r="C719" t="s">
        <v>11</v>
      </c>
      <c r="H719">
        <f>IF(B719="female", 0, 1)</f>
        <v>1</v>
      </c>
      <c r="I719">
        <f>IF(C719= "yes", 1, 0)</f>
        <v>0</v>
      </c>
      <c r="J719">
        <v>60</v>
      </c>
      <c r="K719">
        <v>24.32</v>
      </c>
      <c r="L719">
        <v>1</v>
      </c>
      <c r="M719">
        <v>13112.604799999999</v>
      </c>
    </row>
    <row r="720" spans="1:13" x14ac:dyDescent="0.35">
      <c r="A720" t="s">
        <v>13</v>
      </c>
      <c r="B720" t="s">
        <v>7</v>
      </c>
      <c r="C720" t="s">
        <v>11</v>
      </c>
      <c r="H720">
        <f>IF(B720="female", 0, 1)</f>
        <v>0</v>
      </c>
      <c r="I720">
        <f>IF(C720= "yes", 1, 0)</f>
        <v>0</v>
      </c>
      <c r="J720">
        <v>51</v>
      </c>
      <c r="K720">
        <v>36.67</v>
      </c>
      <c r="L720">
        <v>2</v>
      </c>
      <c r="M720">
        <v>10848.1343</v>
      </c>
    </row>
    <row r="721" spans="1:13" x14ac:dyDescent="0.35">
      <c r="A721" t="s">
        <v>13</v>
      </c>
      <c r="B721" t="s">
        <v>7</v>
      </c>
      <c r="C721" t="s">
        <v>11</v>
      </c>
      <c r="H721">
        <f>IF(B721="female", 0, 1)</f>
        <v>0</v>
      </c>
      <c r="I721">
        <f>IF(C721= "yes", 1, 0)</f>
        <v>0</v>
      </c>
      <c r="J721">
        <v>58</v>
      </c>
      <c r="K721">
        <v>33.44</v>
      </c>
      <c r="L721">
        <v>0</v>
      </c>
      <c r="M721">
        <v>12231.613600000001</v>
      </c>
    </row>
    <row r="722" spans="1:13" x14ac:dyDescent="0.35">
      <c r="A722" t="s">
        <v>14</v>
      </c>
      <c r="B722" t="s">
        <v>7</v>
      </c>
      <c r="C722" t="s">
        <v>11</v>
      </c>
      <c r="H722">
        <f>IF(B722="female", 0, 1)</f>
        <v>0</v>
      </c>
      <c r="I722">
        <f>IF(C722= "yes", 1, 0)</f>
        <v>0</v>
      </c>
      <c r="J722">
        <v>51</v>
      </c>
      <c r="K722">
        <v>40.659999999999997</v>
      </c>
      <c r="L722">
        <v>0</v>
      </c>
      <c r="M722">
        <v>9875.6803999999993</v>
      </c>
    </row>
    <row r="723" spans="1:13" x14ac:dyDescent="0.35">
      <c r="A723" t="s">
        <v>9</v>
      </c>
      <c r="B723" t="s">
        <v>10</v>
      </c>
      <c r="C723" t="s">
        <v>11</v>
      </c>
      <c r="H723">
        <f>IF(B723="female", 0, 1)</f>
        <v>1</v>
      </c>
      <c r="I723">
        <f>IF(C723= "yes", 1, 0)</f>
        <v>0</v>
      </c>
      <c r="J723">
        <v>53</v>
      </c>
      <c r="K723">
        <v>36.6</v>
      </c>
      <c r="L723">
        <v>3</v>
      </c>
      <c r="M723">
        <v>11264.540999999999</v>
      </c>
    </row>
    <row r="724" spans="1:13" x14ac:dyDescent="0.35">
      <c r="A724" t="s">
        <v>9</v>
      </c>
      <c r="B724" t="s">
        <v>10</v>
      </c>
      <c r="C724" t="s">
        <v>11</v>
      </c>
      <c r="H724">
        <f>IF(B724="female", 0, 1)</f>
        <v>1</v>
      </c>
      <c r="I724">
        <f>IF(C724= "yes", 1, 0)</f>
        <v>0</v>
      </c>
      <c r="J724">
        <v>62</v>
      </c>
      <c r="K724">
        <v>37.4</v>
      </c>
      <c r="L724">
        <v>0</v>
      </c>
      <c r="M724">
        <v>12979.358</v>
      </c>
    </row>
    <row r="725" spans="1:13" x14ac:dyDescent="0.35">
      <c r="A725" t="s">
        <v>9</v>
      </c>
      <c r="B725" t="s">
        <v>10</v>
      </c>
      <c r="C725" t="s">
        <v>11</v>
      </c>
      <c r="H725">
        <f>IF(B725="female", 0, 1)</f>
        <v>1</v>
      </c>
      <c r="I725">
        <f>IF(C725= "yes", 1, 0)</f>
        <v>0</v>
      </c>
      <c r="J725">
        <v>19</v>
      </c>
      <c r="K725">
        <v>35.4</v>
      </c>
      <c r="L725">
        <v>0</v>
      </c>
      <c r="M725">
        <v>1263.249</v>
      </c>
    </row>
    <row r="726" spans="1:13" x14ac:dyDescent="0.35">
      <c r="A726" t="s">
        <v>14</v>
      </c>
      <c r="B726" t="s">
        <v>7</v>
      </c>
      <c r="C726" t="s">
        <v>11</v>
      </c>
      <c r="H726">
        <f>IF(B726="female", 0, 1)</f>
        <v>0</v>
      </c>
      <c r="I726">
        <f>IF(C726= "yes", 1, 0)</f>
        <v>0</v>
      </c>
      <c r="J726">
        <v>50</v>
      </c>
      <c r="K726">
        <v>27.074999999999999</v>
      </c>
      <c r="L726">
        <v>1</v>
      </c>
      <c r="M726">
        <v>10106.134249999999</v>
      </c>
    </row>
    <row r="727" spans="1:13" x14ac:dyDescent="0.35">
      <c r="A727" t="s">
        <v>12</v>
      </c>
      <c r="B727" t="s">
        <v>7</v>
      </c>
      <c r="C727" t="s">
        <v>8</v>
      </c>
      <c r="H727">
        <f>IF(B727="female", 0, 1)</f>
        <v>0</v>
      </c>
      <c r="I727">
        <f>IF(C727= "yes", 1, 0)</f>
        <v>1</v>
      </c>
      <c r="J727">
        <v>30</v>
      </c>
      <c r="K727">
        <v>39.049999999999997</v>
      </c>
      <c r="L727">
        <v>3</v>
      </c>
      <c r="M727">
        <v>40932.429499999998</v>
      </c>
    </row>
    <row r="728" spans="1:13" x14ac:dyDescent="0.35">
      <c r="A728" t="s">
        <v>13</v>
      </c>
      <c r="B728" t="s">
        <v>10</v>
      </c>
      <c r="C728" t="s">
        <v>11</v>
      </c>
      <c r="H728">
        <f>IF(B728="female", 0, 1)</f>
        <v>1</v>
      </c>
      <c r="I728">
        <f>IF(C728= "yes", 1, 0)</f>
        <v>0</v>
      </c>
      <c r="J728">
        <v>41</v>
      </c>
      <c r="K728">
        <v>28.405000000000001</v>
      </c>
      <c r="L728">
        <v>1</v>
      </c>
      <c r="M728">
        <v>6664.68595</v>
      </c>
    </row>
    <row r="729" spans="1:13" x14ac:dyDescent="0.35">
      <c r="A729" t="s">
        <v>14</v>
      </c>
      <c r="B729" t="s">
        <v>7</v>
      </c>
      <c r="C729" t="s">
        <v>8</v>
      </c>
      <c r="H729">
        <f>IF(B729="female", 0, 1)</f>
        <v>0</v>
      </c>
      <c r="I729">
        <f>IF(C729= "yes", 1, 0)</f>
        <v>1</v>
      </c>
      <c r="J729">
        <v>29</v>
      </c>
      <c r="K729">
        <v>21.754999999999999</v>
      </c>
      <c r="L729">
        <v>1</v>
      </c>
      <c r="M729">
        <v>16657.71745</v>
      </c>
    </row>
    <row r="730" spans="1:13" x14ac:dyDescent="0.35">
      <c r="A730" t="s">
        <v>14</v>
      </c>
      <c r="B730" t="s">
        <v>7</v>
      </c>
      <c r="C730" t="s">
        <v>11</v>
      </c>
      <c r="H730">
        <f>IF(B730="female", 0, 1)</f>
        <v>0</v>
      </c>
      <c r="I730">
        <f>IF(C730= "yes", 1, 0)</f>
        <v>0</v>
      </c>
      <c r="J730">
        <v>18</v>
      </c>
      <c r="K730">
        <v>40.28</v>
      </c>
      <c r="L730">
        <v>0</v>
      </c>
      <c r="M730">
        <v>2217.6012000000001</v>
      </c>
    </row>
    <row r="731" spans="1:13" x14ac:dyDescent="0.35">
      <c r="A731" t="s">
        <v>12</v>
      </c>
      <c r="B731" t="s">
        <v>7</v>
      </c>
      <c r="C731" t="s">
        <v>11</v>
      </c>
      <c r="H731">
        <f>IF(B731="female", 0, 1)</f>
        <v>0</v>
      </c>
      <c r="I731">
        <f>IF(C731= "yes", 1, 0)</f>
        <v>0</v>
      </c>
      <c r="J731">
        <v>41</v>
      </c>
      <c r="K731">
        <v>36.08</v>
      </c>
      <c r="L731">
        <v>1</v>
      </c>
      <c r="M731">
        <v>6781.3541999999998</v>
      </c>
    </row>
    <row r="732" spans="1:13" x14ac:dyDescent="0.35">
      <c r="A732" t="s">
        <v>12</v>
      </c>
      <c r="B732" t="s">
        <v>10</v>
      </c>
      <c r="C732" t="s">
        <v>8</v>
      </c>
      <c r="H732">
        <f>IF(B732="female", 0, 1)</f>
        <v>1</v>
      </c>
      <c r="I732">
        <f>IF(C732= "yes", 1, 0)</f>
        <v>1</v>
      </c>
      <c r="J732">
        <v>35</v>
      </c>
      <c r="K732">
        <v>24.42</v>
      </c>
      <c r="L732">
        <v>3</v>
      </c>
      <c r="M732">
        <v>19361.998800000001</v>
      </c>
    </row>
    <row r="733" spans="1:13" x14ac:dyDescent="0.35">
      <c r="A733" t="s">
        <v>9</v>
      </c>
      <c r="B733" t="s">
        <v>10</v>
      </c>
      <c r="C733" t="s">
        <v>11</v>
      </c>
      <c r="H733">
        <f>IF(B733="female", 0, 1)</f>
        <v>1</v>
      </c>
      <c r="I733">
        <f>IF(C733= "yes", 1, 0)</f>
        <v>0</v>
      </c>
      <c r="J733">
        <v>53</v>
      </c>
      <c r="K733">
        <v>21.4</v>
      </c>
      <c r="L733">
        <v>1</v>
      </c>
      <c r="M733">
        <v>10065.413</v>
      </c>
    </row>
    <row r="734" spans="1:13" x14ac:dyDescent="0.35">
      <c r="A734" t="s">
        <v>9</v>
      </c>
      <c r="B734" t="s">
        <v>7</v>
      </c>
      <c r="C734" t="s">
        <v>11</v>
      </c>
      <c r="H734">
        <f>IF(B734="female", 0, 1)</f>
        <v>0</v>
      </c>
      <c r="I734">
        <f>IF(C734= "yes", 1, 0)</f>
        <v>0</v>
      </c>
      <c r="J734">
        <v>24</v>
      </c>
      <c r="K734">
        <v>30.1</v>
      </c>
      <c r="L734">
        <v>3</v>
      </c>
      <c r="M734">
        <v>4234.9269999999997</v>
      </c>
    </row>
    <row r="735" spans="1:13" x14ac:dyDescent="0.35">
      <c r="A735" t="s">
        <v>14</v>
      </c>
      <c r="B735" t="s">
        <v>7</v>
      </c>
      <c r="C735" t="s">
        <v>11</v>
      </c>
      <c r="H735">
        <f>IF(B735="female", 0, 1)</f>
        <v>0</v>
      </c>
      <c r="I735">
        <f>IF(C735= "yes", 1, 0)</f>
        <v>0</v>
      </c>
      <c r="J735">
        <v>48</v>
      </c>
      <c r="K735">
        <v>27.265000000000001</v>
      </c>
      <c r="L735">
        <v>1</v>
      </c>
      <c r="M735">
        <v>9447.2503500000003</v>
      </c>
    </row>
    <row r="736" spans="1:13" x14ac:dyDescent="0.35">
      <c r="A736" t="s">
        <v>9</v>
      </c>
      <c r="B736" t="s">
        <v>7</v>
      </c>
      <c r="C736" t="s">
        <v>11</v>
      </c>
      <c r="H736">
        <f>IF(B736="female", 0, 1)</f>
        <v>0</v>
      </c>
      <c r="I736">
        <f>IF(C736= "yes", 1, 0)</f>
        <v>0</v>
      </c>
      <c r="J736">
        <v>59</v>
      </c>
      <c r="K736">
        <v>32.1</v>
      </c>
      <c r="L736">
        <v>3</v>
      </c>
      <c r="M736">
        <v>14007.222</v>
      </c>
    </row>
    <row r="737" spans="1:13" x14ac:dyDescent="0.35">
      <c r="A737" t="s">
        <v>13</v>
      </c>
      <c r="B737" t="s">
        <v>7</v>
      </c>
      <c r="C737" t="s">
        <v>11</v>
      </c>
      <c r="H737">
        <f>IF(B737="female", 0, 1)</f>
        <v>0</v>
      </c>
      <c r="I737">
        <f>IF(C737= "yes", 1, 0)</f>
        <v>0</v>
      </c>
      <c r="J737">
        <v>49</v>
      </c>
      <c r="K737">
        <v>34.770000000000003</v>
      </c>
      <c r="L737">
        <v>1</v>
      </c>
      <c r="M737">
        <v>9583.8932999999997</v>
      </c>
    </row>
    <row r="738" spans="1:13" x14ac:dyDescent="0.35">
      <c r="A738" t="s">
        <v>12</v>
      </c>
      <c r="B738" t="s">
        <v>7</v>
      </c>
      <c r="C738" t="s">
        <v>8</v>
      </c>
      <c r="H738">
        <f>IF(B738="female", 0, 1)</f>
        <v>0</v>
      </c>
      <c r="I738">
        <f>IF(C738= "yes", 1, 0)</f>
        <v>1</v>
      </c>
      <c r="J738">
        <v>37</v>
      </c>
      <c r="K738">
        <v>38.39</v>
      </c>
      <c r="L738">
        <v>0</v>
      </c>
      <c r="M738">
        <v>40419.019099999998</v>
      </c>
    </row>
    <row r="739" spans="1:13" x14ac:dyDescent="0.35">
      <c r="A739" t="s">
        <v>9</v>
      </c>
      <c r="B739" t="s">
        <v>10</v>
      </c>
      <c r="C739" t="s">
        <v>11</v>
      </c>
      <c r="H739">
        <f>IF(B739="female", 0, 1)</f>
        <v>1</v>
      </c>
      <c r="I739">
        <f>IF(C739= "yes", 1, 0)</f>
        <v>0</v>
      </c>
      <c r="J739">
        <v>26</v>
      </c>
      <c r="K739">
        <v>23.7</v>
      </c>
      <c r="L739">
        <v>2</v>
      </c>
      <c r="M739">
        <v>3484.3310000000001</v>
      </c>
    </row>
    <row r="740" spans="1:13" x14ac:dyDescent="0.35">
      <c r="A740" t="s">
        <v>14</v>
      </c>
      <c r="B740" t="s">
        <v>10</v>
      </c>
      <c r="C740" t="s">
        <v>8</v>
      </c>
      <c r="H740">
        <f>IF(B740="female", 0, 1)</f>
        <v>1</v>
      </c>
      <c r="I740">
        <f>IF(C740= "yes", 1, 0)</f>
        <v>1</v>
      </c>
      <c r="J740">
        <v>23</v>
      </c>
      <c r="K740">
        <v>31.73</v>
      </c>
      <c r="L740">
        <v>3</v>
      </c>
      <c r="M740">
        <v>36189.101699999999</v>
      </c>
    </row>
    <row r="741" spans="1:13" x14ac:dyDescent="0.35">
      <c r="A741" t="s">
        <v>9</v>
      </c>
      <c r="B741" t="s">
        <v>10</v>
      </c>
      <c r="C741" t="s">
        <v>8</v>
      </c>
      <c r="H741">
        <f>IF(B741="female", 0, 1)</f>
        <v>1</v>
      </c>
      <c r="I741">
        <f>IF(C741= "yes", 1, 0)</f>
        <v>1</v>
      </c>
      <c r="J741">
        <v>29</v>
      </c>
      <c r="K741">
        <v>35.5</v>
      </c>
      <c r="L741">
        <v>2</v>
      </c>
      <c r="M741">
        <v>44585.455869999998</v>
      </c>
    </row>
    <row r="742" spans="1:13" x14ac:dyDescent="0.35">
      <c r="A742" t="s">
        <v>14</v>
      </c>
      <c r="B742" t="s">
        <v>10</v>
      </c>
      <c r="C742" t="s">
        <v>11</v>
      </c>
      <c r="H742">
        <f>IF(B742="female", 0, 1)</f>
        <v>1</v>
      </c>
      <c r="I742">
        <f>IF(C742= "yes", 1, 0)</f>
        <v>0</v>
      </c>
      <c r="J742">
        <v>45</v>
      </c>
      <c r="K742">
        <v>24.035</v>
      </c>
      <c r="L742">
        <v>2</v>
      </c>
      <c r="M742">
        <v>8604.4836500000001</v>
      </c>
    </row>
    <row r="743" spans="1:13" x14ac:dyDescent="0.35">
      <c r="A743" t="s">
        <v>12</v>
      </c>
      <c r="B743" t="s">
        <v>10</v>
      </c>
      <c r="C743" t="s">
        <v>8</v>
      </c>
      <c r="H743">
        <f>IF(B743="female", 0, 1)</f>
        <v>1</v>
      </c>
      <c r="I743">
        <f>IF(C743= "yes", 1, 0)</f>
        <v>1</v>
      </c>
      <c r="J743">
        <v>27</v>
      </c>
      <c r="K743">
        <v>29.15</v>
      </c>
      <c r="L743">
        <v>0</v>
      </c>
      <c r="M743">
        <v>18246.495500000001</v>
      </c>
    </row>
    <row r="744" spans="1:13" x14ac:dyDescent="0.35">
      <c r="A744" t="s">
        <v>14</v>
      </c>
      <c r="B744" t="s">
        <v>10</v>
      </c>
      <c r="C744" t="s">
        <v>8</v>
      </c>
      <c r="H744">
        <f>IF(B744="female", 0, 1)</f>
        <v>1</v>
      </c>
      <c r="I744">
        <f>IF(C744= "yes", 1, 0)</f>
        <v>1</v>
      </c>
      <c r="J744">
        <v>53</v>
      </c>
      <c r="K744">
        <v>34.104999999999997</v>
      </c>
      <c r="L744">
        <v>0</v>
      </c>
      <c r="M744">
        <v>43254.417950000003</v>
      </c>
    </row>
    <row r="745" spans="1:13" x14ac:dyDescent="0.35">
      <c r="A745" t="s">
        <v>12</v>
      </c>
      <c r="B745" t="s">
        <v>7</v>
      </c>
      <c r="C745" t="s">
        <v>11</v>
      </c>
      <c r="H745">
        <f>IF(B745="female", 0, 1)</f>
        <v>0</v>
      </c>
      <c r="I745">
        <f>IF(C745= "yes", 1, 0)</f>
        <v>0</v>
      </c>
      <c r="J745">
        <v>31</v>
      </c>
      <c r="K745">
        <v>26.62</v>
      </c>
      <c r="L745">
        <v>0</v>
      </c>
      <c r="M745">
        <v>3757.8447999999999</v>
      </c>
    </row>
    <row r="746" spans="1:13" x14ac:dyDescent="0.35">
      <c r="A746" t="s">
        <v>13</v>
      </c>
      <c r="B746" t="s">
        <v>10</v>
      </c>
      <c r="C746" t="s">
        <v>11</v>
      </c>
      <c r="H746">
        <f>IF(B746="female", 0, 1)</f>
        <v>1</v>
      </c>
      <c r="I746">
        <f>IF(C746= "yes", 1, 0)</f>
        <v>0</v>
      </c>
      <c r="J746">
        <v>50</v>
      </c>
      <c r="K746">
        <v>26.41</v>
      </c>
      <c r="L746">
        <v>0</v>
      </c>
      <c r="M746">
        <v>8827.2098999999998</v>
      </c>
    </row>
    <row r="747" spans="1:13" x14ac:dyDescent="0.35">
      <c r="A747" t="s">
        <v>13</v>
      </c>
      <c r="B747" t="s">
        <v>7</v>
      </c>
      <c r="C747" t="s">
        <v>11</v>
      </c>
      <c r="H747">
        <f>IF(B747="female", 0, 1)</f>
        <v>0</v>
      </c>
      <c r="I747">
        <f>IF(C747= "yes", 1, 0)</f>
        <v>0</v>
      </c>
      <c r="J747">
        <v>50</v>
      </c>
      <c r="K747">
        <v>30.114999999999998</v>
      </c>
      <c r="L747">
        <v>1</v>
      </c>
      <c r="M747">
        <v>9910.3598500000007</v>
      </c>
    </row>
    <row r="748" spans="1:13" x14ac:dyDescent="0.35">
      <c r="A748" t="s">
        <v>9</v>
      </c>
      <c r="B748" t="s">
        <v>10</v>
      </c>
      <c r="C748" t="s">
        <v>11</v>
      </c>
      <c r="H748">
        <f>IF(B748="female", 0, 1)</f>
        <v>1</v>
      </c>
      <c r="I748">
        <f>IF(C748= "yes", 1, 0)</f>
        <v>0</v>
      </c>
      <c r="J748">
        <v>34</v>
      </c>
      <c r="K748">
        <v>27</v>
      </c>
      <c r="L748">
        <v>2</v>
      </c>
      <c r="M748">
        <v>11737.848840000001</v>
      </c>
    </row>
    <row r="749" spans="1:13" x14ac:dyDescent="0.35">
      <c r="A749" t="s">
        <v>13</v>
      </c>
      <c r="B749" t="s">
        <v>10</v>
      </c>
      <c r="C749" t="s">
        <v>11</v>
      </c>
      <c r="H749">
        <f>IF(B749="female", 0, 1)</f>
        <v>1</v>
      </c>
      <c r="I749">
        <f>IF(C749= "yes", 1, 0)</f>
        <v>0</v>
      </c>
      <c r="J749">
        <v>19</v>
      </c>
      <c r="K749">
        <v>21.754999999999999</v>
      </c>
      <c r="L749">
        <v>0</v>
      </c>
      <c r="M749">
        <v>1627.2824499999999</v>
      </c>
    </row>
    <row r="750" spans="1:13" x14ac:dyDescent="0.35">
      <c r="A750" t="s">
        <v>9</v>
      </c>
      <c r="B750" t="s">
        <v>7</v>
      </c>
      <c r="C750" t="s">
        <v>11</v>
      </c>
      <c r="H750">
        <f>IF(B750="female", 0, 1)</f>
        <v>0</v>
      </c>
      <c r="I750">
        <f>IF(C750= "yes", 1, 0)</f>
        <v>0</v>
      </c>
      <c r="J750">
        <v>47</v>
      </c>
      <c r="K750">
        <v>36</v>
      </c>
      <c r="L750">
        <v>1</v>
      </c>
      <c r="M750">
        <v>8556.9069999999992</v>
      </c>
    </row>
    <row r="751" spans="1:13" x14ac:dyDescent="0.35">
      <c r="A751" t="s">
        <v>13</v>
      </c>
      <c r="B751" t="s">
        <v>10</v>
      </c>
      <c r="C751" t="s">
        <v>11</v>
      </c>
      <c r="H751">
        <f>IF(B751="female", 0, 1)</f>
        <v>1</v>
      </c>
      <c r="I751">
        <f>IF(C751= "yes", 1, 0)</f>
        <v>0</v>
      </c>
      <c r="J751">
        <v>28</v>
      </c>
      <c r="K751">
        <v>30.875</v>
      </c>
      <c r="L751">
        <v>0</v>
      </c>
      <c r="M751">
        <v>3062.5082499999999</v>
      </c>
    </row>
    <row r="752" spans="1:13" x14ac:dyDescent="0.35">
      <c r="A752" t="s">
        <v>12</v>
      </c>
      <c r="B752" t="s">
        <v>7</v>
      </c>
      <c r="C752" t="s">
        <v>8</v>
      </c>
      <c r="H752">
        <f>IF(B752="female", 0, 1)</f>
        <v>0</v>
      </c>
      <c r="I752">
        <f>IF(C752= "yes", 1, 0)</f>
        <v>1</v>
      </c>
      <c r="J752">
        <v>37</v>
      </c>
      <c r="K752">
        <v>26.4</v>
      </c>
      <c r="L752">
        <v>0</v>
      </c>
      <c r="M752">
        <v>19539.242999999999</v>
      </c>
    </row>
    <row r="753" spans="1:13" x14ac:dyDescent="0.35">
      <c r="A753" t="s">
        <v>13</v>
      </c>
      <c r="B753" t="s">
        <v>10</v>
      </c>
      <c r="C753" t="s">
        <v>11</v>
      </c>
      <c r="H753">
        <f>IF(B753="female", 0, 1)</f>
        <v>1</v>
      </c>
      <c r="I753">
        <f>IF(C753= "yes", 1, 0)</f>
        <v>0</v>
      </c>
      <c r="J753">
        <v>21</v>
      </c>
      <c r="K753">
        <v>28.975000000000001</v>
      </c>
      <c r="L753">
        <v>0</v>
      </c>
      <c r="M753">
        <v>1906.35825</v>
      </c>
    </row>
    <row r="754" spans="1:13" x14ac:dyDescent="0.35">
      <c r="A754" t="s">
        <v>13</v>
      </c>
      <c r="B754" t="s">
        <v>10</v>
      </c>
      <c r="C754" t="s">
        <v>11</v>
      </c>
      <c r="H754">
        <f>IF(B754="female", 0, 1)</f>
        <v>1</v>
      </c>
      <c r="I754">
        <f>IF(C754= "yes", 1, 0)</f>
        <v>0</v>
      </c>
      <c r="J754">
        <v>64</v>
      </c>
      <c r="K754">
        <v>37.905000000000001</v>
      </c>
      <c r="L754">
        <v>0</v>
      </c>
      <c r="M754">
        <v>14210.53595</v>
      </c>
    </row>
    <row r="755" spans="1:13" x14ac:dyDescent="0.35">
      <c r="A755" t="s">
        <v>12</v>
      </c>
      <c r="B755" t="s">
        <v>7</v>
      </c>
      <c r="C755" t="s">
        <v>11</v>
      </c>
      <c r="H755">
        <f>IF(B755="female", 0, 1)</f>
        <v>0</v>
      </c>
      <c r="I755">
        <f>IF(C755= "yes", 1, 0)</f>
        <v>0</v>
      </c>
      <c r="J755">
        <v>58</v>
      </c>
      <c r="K755">
        <v>22.77</v>
      </c>
      <c r="L755">
        <v>0</v>
      </c>
      <c r="M755">
        <v>11833.782300000001</v>
      </c>
    </row>
    <row r="756" spans="1:13" x14ac:dyDescent="0.35">
      <c r="A756" t="s">
        <v>14</v>
      </c>
      <c r="B756" t="s">
        <v>10</v>
      </c>
      <c r="C756" t="s">
        <v>11</v>
      </c>
      <c r="H756">
        <f>IF(B756="female", 0, 1)</f>
        <v>1</v>
      </c>
      <c r="I756">
        <f>IF(C756= "yes", 1, 0)</f>
        <v>0</v>
      </c>
      <c r="J756">
        <v>24</v>
      </c>
      <c r="K756">
        <v>33.630000000000003</v>
      </c>
      <c r="L756">
        <v>4</v>
      </c>
      <c r="M756">
        <v>17128.426080000001</v>
      </c>
    </row>
    <row r="757" spans="1:13" x14ac:dyDescent="0.35">
      <c r="A757" t="s">
        <v>14</v>
      </c>
      <c r="B757" t="s">
        <v>10</v>
      </c>
      <c r="C757" t="s">
        <v>11</v>
      </c>
      <c r="H757">
        <f>IF(B757="female", 0, 1)</f>
        <v>1</v>
      </c>
      <c r="I757">
        <f>IF(C757= "yes", 1, 0)</f>
        <v>0</v>
      </c>
      <c r="J757">
        <v>31</v>
      </c>
      <c r="K757">
        <v>27.645</v>
      </c>
      <c r="L757">
        <v>2</v>
      </c>
      <c r="M757">
        <v>5031.26955</v>
      </c>
    </row>
    <row r="758" spans="1:13" x14ac:dyDescent="0.35">
      <c r="A758" t="s">
        <v>14</v>
      </c>
      <c r="B758" t="s">
        <v>7</v>
      </c>
      <c r="C758" t="s">
        <v>11</v>
      </c>
      <c r="H758">
        <f>IF(B758="female", 0, 1)</f>
        <v>0</v>
      </c>
      <c r="I758">
        <f>IF(C758= "yes", 1, 0)</f>
        <v>0</v>
      </c>
      <c r="J758">
        <v>39</v>
      </c>
      <c r="K758">
        <v>22.8</v>
      </c>
      <c r="L758">
        <v>3</v>
      </c>
      <c r="M758">
        <v>7985.8149999999996</v>
      </c>
    </row>
    <row r="759" spans="1:13" x14ac:dyDescent="0.35">
      <c r="A759" t="s">
        <v>12</v>
      </c>
      <c r="B759" t="s">
        <v>7</v>
      </c>
      <c r="C759" t="s">
        <v>8</v>
      </c>
      <c r="H759">
        <f>IF(B759="female", 0, 1)</f>
        <v>0</v>
      </c>
      <c r="I759">
        <f>IF(C759= "yes", 1, 0)</f>
        <v>1</v>
      </c>
      <c r="J759">
        <v>47</v>
      </c>
      <c r="K759">
        <v>27.83</v>
      </c>
      <c r="L759">
        <v>0</v>
      </c>
      <c r="M759">
        <v>23065.420699999999</v>
      </c>
    </row>
    <row r="760" spans="1:13" x14ac:dyDescent="0.35">
      <c r="A760" t="s">
        <v>14</v>
      </c>
      <c r="B760" t="s">
        <v>10</v>
      </c>
      <c r="C760" t="s">
        <v>11</v>
      </c>
      <c r="H760">
        <f>IF(B760="female", 0, 1)</f>
        <v>1</v>
      </c>
      <c r="I760">
        <f>IF(C760= "yes", 1, 0)</f>
        <v>0</v>
      </c>
      <c r="J760">
        <v>30</v>
      </c>
      <c r="K760">
        <v>37.43</v>
      </c>
      <c r="L760">
        <v>3</v>
      </c>
      <c r="M760">
        <v>5428.7277000000004</v>
      </c>
    </row>
    <row r="761" spans="1:13" x14ac:dyDescent="0.35">
      <c r="A761" t="s">
        <v>12</v>
      </c>
      <c r="B761" t="s">
        <v>10</v>
      </c>
      <c r="C761" t="s">
        <v>8</v>
      </c>
      <c r="H761">
        <f>IF(B761="female", 0, 1)</f>
        <v>1</v>
      </c>
      <c r="I761">
        <f>IF(C761= "yes", 1, 0)</f>
        <v>1</v>
      </c>
      <c r="J761">
        <v>18</v>
      </c>
      <c r="K761">
        <v>38.17</v>
      </c>
      <c r="L761">
        <v>0</v>
      </c>
      <c r="M761">
        <v>36307.798300000002</v>
      </c>
    </row>
    <row r="762" spans="1:13" x14ac:dyDescent="0.35">
      <c r="A762" t="s">
        <v>14</v>
      </c>
      <c r="B762" t="s">
        <v>7</v>
      </c>
      <c r="C762" t="s">
        <v>11</v>
      </c>
      <c r="H762">
        <f>IF(B762="female", 0, 1)</f>
        <v>0</v>
      </c>
      <c r="I762">
        <f>IF(C762= "yes", 1, 0)</f>
        <v>0</v>
      </c>
      <c r="J762">
        <v>22</v>
      </c>
      <c r="K762">
        <v>34.58</v>
      </c>
      <c r="L762">
        <v>2</v>
      </c>
      <c r="M762">
        <v>3925.7582000000002</v>
      </c>
    </row>
    <row r="763" spans="1:13" x14ac:dyDescent="0.35">
      <c r="A763" t="s">
        <v>9</v>
      </c>
      <c r="B763" t="s">
        <v>10</v>
      </c>
      <c r="C763" t="s">
        <v>11</v>
      </c>
      <c r="H763">
        <f>IF(B763="female", 0, 1)</f>
        <v>1</v>
      </c>
      <c r="I763">
        <f>IF(C763= "yes", 1, 0)</f>
        <v>0</v>
      </c>
      <c r="J763">
        <v>23</v>
      </c>
      <c r="K763">
        <v>35.200000000000003</v>
      </c>
      <c r="L763">
        <v>1</v>
      </c>
      <c r="M763">
        <v>2416.9549999999999</v>
      </c>
    </row>
    <row r="764" spans="1:13" x14ac:dyDescent="0.35">
      <c r="A764" t="s">
        <v>9</v>
      </c>
      <c r="B764" t="s">
        <v>10</v>
      </c>
      <c r="C764" t="s">
        <v>8</v>
      </c>
      <c r="H764">
        <f>IF(B764="female", 0, 1)</f>
        <v>1</v>
      </c>
      <c r="I764">
        <f>IF(C764= "yes", 1, 0)</f>
        <v>1</v>
      </c>
      <c r="J764">
        <v>33</v>
      </c>
      <c r="K764">
        <v>27.1</v>
      </c>
      <c r="L764">
        <v>1</v>
      </c>
      <c r="M764">
        <v>19040.876</v>
      </c>
    </row>
    <row r="765" spans="1:13" x14ac:dyDescent="0.35">
      <c r="A765" t="s">
        <v>14</v>
      </c>
      <c r="B765" t="s">
        <v>10</v>
      </c>
      <c r="C765" t="s">
        <v>11</v>
      </c>
      <c r="H765">
        <f>IF(B765="female", 0, 1)</f>
        <v>1</v>
      </c>
      <c r="I765">
        <f>IF(C765= "yes", 1, 0)</f>
        <v>0</v>
      </c>
      <c r="J765">
        <v>27</v>
      </c>
      <c r="K765">
        <v>26.03</v>
      </c>
      <c r="L765">
        <v>0</v>
      </c>
      <c r="M765">
        <v>3070.8087</v>
      </c>
    </row>
    <row r="766" spans="1:13" x14ac:dyDescent="0.35">
      <c r="A766" t="s">
        <v>14</v>
      </c>
      <c r="B766" t="s">
        <v>7</v>
      </c>
      <c r="C766" t="s">
        <v>11</v>
      </c>
      <c r="H766">
        <f>IF(B766="female", 0, 1)</f>
        <v>0</v>
      </c>
      <c r="I766">
        <f>IF(C766= "yes", 1, 0)</f>
        <v>0</v>
      </c>
      <c r="J766">
        <v>45</v>
      </c>
      <c r="K766">
        <v>25.175000000000001</v>
      </c>
      <c r="L766">
        <v>2</v>
      </c>
      <c r="M766">
        <v>9095.0682500000003</v>
      </c>
    </row>
    <row r="767" spans="1:13" x14ac:dyDescent="0.35">
      <c r="A767" t="s">
        <v>13</v>
      </c>
      <c r="B767" t="s">
        <v>7</v>
      </c>
      <c r="C767" t="s">
        <v>11</v>
      </c>
      <c r="H767">
        <f>IF(B767="female", 0, 1)</f>
        <v>0</v>
      </c>
      <c r="I767">
        <f>IF(C767= "yes", 1, 0)</f>
        <v>0</v>
      </c>
      <c r="J767">
        <v>57</v>
      </c>
      <c r="K767">
        <v>31.824999999999999</v>
      </c>
      <c r="L767">
        <v>0</v>
      </c>
      <c r="M767">
        <v>11842.623750000001</v>
      </c>
    </row>
    <row r="768" spans="1:13" x14ac:dyDescent="0.35">
      <c r="A768" t="s">
        <v>9</v>
      </c>
      <c r="B768" t="s">
        <v>10</v>
      </c>
      <c r="C768" t="s">
        <v>11</v>
      </c>
      <c r="H768">
        <f>IF(B768="female", 0, 1)</f>
        <v>1</v>
      </c>
      <c r="I768">
        <f>IF(C768= "yes", 1, 0)</f>
        <v>0</v>
      </c>
      <c r="J768">
        <v>47</v>
      </c>
      <c r="K768">
        <v>32.299999999999997</v>
      </c>
      <c r="L768">
        <v>1</v>
      </c>
      <c r="M768">
        <v>8062.7640000000001</v>
      </c>
    </row>
    <row r="769" spans="1:13" x14ac:dyDescent="0.35">
      <c r="A769" t="s">
        <v>9</v>
      </c>
      <c r="B769" t="s">
        <v>7</v>
      </c>
      <c r="C769" t="s">
        <v>11</v>
      </c>
      <c r="H769">
        <f>IF(B769="female", 0, 1)</f>
        <v>0</v>
      </c>
      <c r="I769">
        <f>IF(C769= "yes", 1, 0)</f>
        <v>0</v>
      </c>
      <c r="J769">
        <v>42</v>
      </c>
      <c r="K769">
        <v>29</v>
      </c>
      <c r="L769">
        <v>1</v>
      </c>
      <c r="M769">
        <v>7050.6419999999998</v>
      </c>
    </row>
    <row r="770" spans="1:13" x14ac:dyDescent="0.35">
      <c r="A770" t="s">
        <v>9</v>
      </c>
      <c r="B770" t="s">
        <v>7</v>
      </c>
      <c r="C770" t="s">
        <v>11</v>
      </c>
      <c r="H770">
        <f>IF(B770="female", 0, 1)</f>
        <v>0</v>
      </c>
      <c r="I770">
        <f>IF(C770= "yes", 1, 0)</f>
        <v>0</v>
      </c>
      <c r="J770">
        <v>64</v>
      </c>
      <c r="K770">
        <v>39.700000000000003</v>
      </c>
      <c r="L770">
        <v>0</v>
      </c>
      <c r="M770">
        <v>14319.031000000001</v>
      </c>
    </row>
    <row r="771" spans="1:13" x14ac:dyDescent="0.35">
      <c r="A771" t="s">
        <v>13</v>
      </c>
      <c r="B771" t="s">
        <v>7</v>
      </c>
      <c r="C771" t="s">
        <v>11</v>
      </c>
      <c r="H771">
        <f>IF(B771="female", 0, 1)</f>
        <v>0</v>
      </c>
      <c r="I771">
        <f>IF(C771= "yes", 1, 0)</f>
        <v>0</v>
      </c>
      <c r="J771">
        <v>38</v>
      </c>
      <c r="K771">
        <v>19.475000000000001</v>
      </c>
      <c r="L771">
        <v>2</v>
      </c>
      <c r="M771">
        <v>6933.2422500000002</v>
      </c>
    </row>
    <row r="772" spans="1:13" x14ac:dyDescent="0.35">
      <c r="A772" t="s">
        <v>9</v>
      </c>
      <c r="B772" t="s">
        <v>10</v>
      </c>
      <c r="C772" t="s">
        <v>11</v>
      </c>
      <c r="H772">
        <f>IF(B772="female", 0, 1)</f>
        <v>1</v>
      </c>
      <c r="I772">
        <f>IF(C772= "yes", 1, 0)</f>
        <v>0</v>
      </c>
      <c r="J772">
        <v>61</v>
      </c>
      <c r="K772">
        <v>36.1</v>
      </c>
      <c r="L772">
        <v>3</v>
      </c>
      <c r="M772">
        <v>27941.28758</v>
      </c>
    </row>
    <row r="773" spans="1:13" x14ac:dyDescent="0.35">
      <c r="A773" t="s">
        <v>9</v>
      </c>
      <c r="B773" t="s">
        <v>7</v>
      </c>
      <c r="C773" t="s">
        <v>11</v>
      </c>
      <c r="H773">
        <f>IF(B773="female", 0, 1)</f>
        <v>0</v>
      </c>
      <c r="I773">
        <f>IF(C773= "yes", 1, 0)</f>
        <v>0</v>
      </c>
      <c r="J773">
        <v>53</v>
      </c>
      <c r="K773">
        <v>26.7</v>
      </c>
      <c r="L773">
        <v>2</v>
      </c>
      <c r="M773">
        <v>11150.78</v>
      </c>
    </row>
    <row r="774" spans="1:13" x14ac:dyDescent="0.35">
      <c r="A774" t="s">
        <v>14</v>
      </c>
      <c r="B774" t="s">
        <v>7</v>
      </c>
      <c r="C774" t="s">
        <v>11</v>
      </c>
      <c r="H774">
        <f>IF(B774="female", 0, 1)</f>
        <v>0</v>
      </c>
      <c r="I774">
        <f>IF(C774= "yes", 1, 0)</f>
        <v>0</v>
      </c>
      <c r="J774">
        <v>44</v>
      </c>
      <c r="K774">
        <v>36.479999999999997</v>
      </c>
      <c r="L774">
        <v>0</v>
      </c>
      <c r="M774">
        <v>12797.20962</v>
      </c>
    </row>
    <row r="775" spans="1:13" x14ac:dyDescent="0.35">
      <c r="A775" t="s">
        <v>13</v>
      </c>
      <c r="B775" t="s">
        <v>7</v>
      </c>
      <c r="C775" t="s">
        <v>8</v>
      </c>
      <c r="H775">
        <f>IF(B775="female", 0, 1)</f>
        <v>0</v>
      </c>
      <c r="I775">
        <f>IF(C775= "yes", 1, 0)</f>
        <v>1</v>
      </c>
      <c r="J775">
        <v>19</v>
      </c>
      <c r="K775">
        <v>28.88</v>
      </c>
      <c r="L775">
        <v>0</v>
      </c>
      <c r="M775">
        <v>17748.5062</v>
      </c>
    </row>
    <row r="776" spans="1:13" x14ac:dyDescent="0.35">
      <c r="A776" t="s">
        <v>13</v>
      </c>
      <c r="B776" t="s">
        <v>10</v>
      </c>
      <c r="C776" t="s">
        <v>11</v>
      </c>
      <c r="H776">
        <f>IF(B776="female", 0, 1)</f>
        <v>1</v>
      </c>
      <c r="I776">
        <f>IF(C776= "yes", 1, 0)</f>
        <v>0</v>
      </c>
      <c r="J776">
        <v>41</v>
      </c>
      <c r="K776">
        <v>34.200000000000003</v>
      </c>
      <c r="L776">
        <v>2</v>
      </c>
      <c r="M776">
        <v>7261.741</v>
      </c>
    </row>
    <row r="777" spans="1:13" x14ac:dyDescent="0.35">
      <c r="A777" t="s">
        <v>12</v>
      </c>
      <c r="B777" t="s">
        <v>10</v>
      </c>
      <c r="C777" t="s">
        <v>11</v>
      </c>
      <c r="H777">
        <f>IF(B777="female", 0, 1)</f>
        <v>1</v>
      </c>
      <c r="I777">
        <f>IF(C777= "yes", 1, 0)</f>
        <v>0</v>
      </c>
      <c r="J777">
        <v>51</v>
      </c>
      <c r="K777">
        <v>33.33</v>
      </c>
      <c r="L777">
        <v>3</v>
      </c>
      <c r="M777">
        <v>10560.4917</v>
      </c>
    </row>
    <row r="778" spans="1:13" x14ac:dyDescent="0.35">
      <c r="A778" t="s">
        <v>13</v>
      </c>
      <c r="B778" t="s">
        <v>10</v>
      </c>
      <c r="C778" t="s">
        <v>11</v>
      </c>
      <c r="H778">
        <f>IF(B778="female", 0, 1)</f>
        <v>1</v>
      </c>
      <c r="I778">
        <f>IF(C778= "yes", 1, 0)</f>
        <v>0</v>
      </c>
      <c r="J778">
        <v>40</v>
      </c>
      <c r="K778">
        <v>32.299999999999997</v>
      </c>
      <c r="L778">
        <v>2</v>
      </c>
      <c r="M778">
        <v>6986.6970000000001</v>
      </c>
    </row>
    <row r="779" spans="1:13" x14ac:dyDescent="0.35">
      <c r="A779" t="s">
        <v>14</v>
      </c>
      <c r="B779" t="s">
        <v>10</v>
      </c>
      <c r="C779" t="s">
        <v>11</v>
      </c>
      <c r="H779">
        <f>IF(B779="female", 0, 1)</f>
        <v>1</v>
      </c>
      <c r="I779">
        <f>IF(C779= "yes", 1, 0)</f>
        <v>0</v>
      </c>
      <c r="J779">
        <v>45</v>
      </c>
      <c r="K779">
        <v>39.805</v>
      </c>
      <c r="L779">
        <v>0</v>
      </c>
      <c r="M779">
        <v>7448.4039499999999</v>
      </c>
    </row>
    <row r="780" spans="1:13" x14ac:dyDescent="0.35">
      <c r="A780" t="s">
        <v>12</v>
      </c>
      <c r="B780" t="s">
        <v>10</v>
      </c>
      <c r="C780" t="s">
        <v>11</v>
      </c>
      <c r="H780">
        <f>IF(B780="female", 0, 1)</f>
        <v>1</v>
      </c>
      <c r="I780">
        <f>IF(C780= "yes", 1, 0)</f>
        <v>0</v>
      </c>
      <c r="J780">
        <v>35</v>
      </c>
      <c r="K780">
        <v>34.32</v>
      </c>
      <c r="L780">
        <v>3</v>
      </c>
      <c r="M780">
        <v>5934.3797999999997</v>
      </c>
    </row>
    <row r="781" spans="1:13" x14ac:dyDescent="0.35">
      <c r="A781" t="s">
        <v>13</v>
      </c>
      <c r="B781" t="s">
        <v>10</v>
      </c>
      <c r="C781" t="s">
        <v>11</v>
      </c>
      <c r="H781">
        <f>IF(B781="female", 0, 1)</f>
        <v>1</v>
      </c>
      <c r="I781">
        <f>IF(C781= "yes", 1, 0)</f>
        <v>0</v>
      </c>
      <c r="J781">
        <v>53</v>
      </c>
      <c r="K781">
        <v>28.88</v>
      </c>
      <c r="L781">
        <v>0</v>
      </c>
      <c r="M781">
        <v>9869.8101999999999</v>
      </c>
    </row>
    <row r="782" spans="1:13" x14ac:dyDescent="0.35">
      <c r="A782" t="s">
        <v>9</v>
      </c>
      <c r="B782" t="s">
        <v>10</v>
      </c>
      <c r="C782" t="s">
        <v>8</v>
      </c>
      <c r="H782">
        <f>IF(B782="female", 0, 1)</f>
        <v>1</v>
      </c>
      <c r="I782">
        <f>IF(C782= "yes", 1, 0)</f>
        <v>1</v>
      </c>
      <c r="J782">
        <v>30</v>
      </c>
      <c r="K782">
        <v>24.4</v>
      </c>
      <c r="L782">
        <v>3</v>
      </c>
      <c r="M782">
        <v>18259.216</v>
      </c>
    </row>
    <row r="783" spans="1:13" x14ac:dyDescent="0.35">
      <c r="A783" t="s">
        <v>12</v>
      </c>
      <c r="B783" t="s">
        <v>10</v>
      </c>
      <c r="C783" t="s">
        <v>11</v>
      </c>
      <c r="H783">
        <f>IF(B783="female", 0, 1)</f>
        <v>1</v>
      </c>
      <c r="I783">
        <f>IF(C783= "yes", 1, 0)</f>
        <v>0</v>
      </c>
      <c r="J783">
        <v>18</v>
      </c>
      <c r="K783">
        <v>41.14</v>
      </c>
      <c r="L783">
        <v>0</v>
      </c>
      <c r="M783">
        <v>1146.7965999999999</v>
      </c>
    </row>
    <row r="784" spans="1:13" x14ac:dyDescent="0.35">
      <c r="A784" t="s">
        <v>12</v>
      </c>
      <c r="B784" t="s">
        <v>10</v>
      </c>
      <c r="C784" t="s">
        <v>11</v>
      </c>
      <c r="H784">
        <f>IF(B784="female", 0, 1)</f>
        <v>1</v>
      </c>
      <c r="I784">
        <f>IF(C784= "yes", 1, 0)</f>
        <v>0</v>
      </c>
      <c r="J784">
        <v>51</v>
      </c>
      <c r="K784">
        <v>35.97</v>
      </c>
      <c r="L784">
        <v>1</v>
      </c>
      <c r="M784">
        <v>9386.1612999999998</v>
      </c>
    </row>
    <row r="785" spans="1:13" x14ac:dyDescent="0.35">
      <c r="A785" t="s">
        <v>9</v>
      </c>
      <c r="B785" t="s">
        <v>7</v>
      </c>
      <c r="C785" t="s">
        <v>8</v>
      </c>
      <c r="H785">
        <f>IF(B785="female", 0, 1)</f>
        <v>0</v>
      </c>
      <c r="I785">
        <f>IF(C785= "yes", 1, 0)</f>
        <v>1</v>
      </c>
      <c r="J785">
        <v>50</v>
      </c>
      <c r="K785">
        <v>27.6</v>
      </c>
      <c r="L785">
        <v>1</v>
      </c>
      <c r="M785">
        <v>24520.263999999999</v>
      </c>
    </row>
    <row r="786" spans="1:13" x14ac:dyDescent="0.35">
      <c r="A786" t="s">
        <v>12</v>
      </c>
      <c r="B786" t="s">
        <v>7</v>
      </c>
      <c r="C786" t="s">
        <v>11</v>
      </c>
      <c r="H786">
        <f>IF(B786="female", 0, 1)</f>
        <v>0</v>
      </c>
      <c r="I786">
        <f>IF(C786= "yes", 1, 0)</f>
        <v>0</v>
      </c>
      <c r="J786">
        <v>31</v>
      </c>
      <c r="K786">
        <v>29.26</v>
      </c>
      <c r="L786">
        <v>1</v>
      </c>
      <c r="M786">
        <v>4350.5144</v>
      </c>
    </row>
    <row r="787" spans="1:13" x14ac:dyDescent="0.35">
      <c r="A787" t="s">
        <v>9</v>
      </c>
      <c r="B787" t="s">
        <v>7</v>
      </c>
      <c r="C787" t="s">
        <v>11</v>
      </c>
      <c r="H787">
        <f>IF(B787="female", 0, 1)</f>
        <v>0</v>
      </c>
      <c r="I787">
        <f>IF(C787= "yes", 1, 0)</f>
        <v>0</v>
      </c>
      <c r="J787">
        <v>35</v>
      </c>
      <c r="K787">
        <v>27.7</v>
      </c>
      <c r="L787">
        <v>3</v>
      </c>
      <c r="M787">
        <v>6414.1779999999999</v>
      </c>
    </row>
    <row r="788" spans="1:13" x14ac:dyDescent="0.35">
      <c r="A788" t="s">
        <v>14</v>
      </c>
      <c r="B788" t="s">
        <v>10</v>
      </c>
      <c r="C788" t="s">
        <v>11</v>
      </c>
      <c r="H788">
        <f>IF(B788="female", 0, 1)</f>
        <v>1</v>
      </c>
      <c r="I788">
        <f>IF(C788= "yes", 1, 0)</f>
        <v>0</v>
      </c>
      <c r="J788">
        <v>60</v>
      </c>
      <c r="K788">
        <v>36.954999999999998</v>
      </c>
      <c r="L788">
        <v>0</v>
      </c>
      <c r="M788">
        <v>12741.167450000001</v>
      </c>
    </row>
    <row r="789" spans="1:13" x14ac:dyDescent="0.35">
      <c r="A789" t="s">
        <v>13</v>
      </c>
      <c r="B789" t="s">
        <v>10</v>
      </c>
      <c r="C789" t="s">
        <v>11</v>
      </c>
      <c r="H789">
        <f>IF(B789="female", 0, 1)</f>
        <v>1</v>
      </c>
      <c r="I789">
        <f>IF(C789= "yes", 1, 0)</f>
        <v>0</v>
      </c>
      <c r="J789">
        <v>21</v>
      </c>
      <c r="K789">
        <v>36.86</v>
      </c>
      <c r="L789">
        <v>0</v>
      </c>
      <c r="M789">
        <v>1917.3184000000001</v>
      </c>
    </row>
    <row r="790" spans="1:13" x14ac:dyDescent="0.35">
      <c r="A790" t="s">
        <v>14</v>
      </c>
      <c r="B790" t="s">
        <v>10</v>
      </c>
      <c r="C790" t="s">
        <v>11</v>
      </c>
      <c r="H790">
        <f>IF(B790="female", 0, 1)</f>
        <v>1</v>
      </c>
      <c r="I790">
        <f>IF(C790= "yes", 1, 0)</f>
        <v>0</v>
      </c>
      <c r="J790">
        <v>29</v>
      </c>
      <c r="K790">
        <v>22.515000000000001</v>
      </c>
      <c r="L790">
        <v>3</v>
      </c>
      <c r="M790">
        <v>5209.5788499999999</v>
      </c>
    </row>
    <row r="791" spans="1:13" x14ac:dyDescent="0.35">
      <c r="A791" t="s">
        <v>12</v>
      </c>
      <c r="B791" t="s">
        <v>7</v>
      </c>
      <c r="C791" t="s">
        <v>11</v>
      </c>
      <c r="H791">
        <f>IF(B791="female", 0, 1)</f>
        <v>0</v>
      </c>
      <c r="I791">
        <f>IF(C791= "yes", 1, 0)</f>
        <v>0</v>
      </c>
      <c r="J791">
        <v>62</v>
      </c>
      <c r="K791">
        <v>29.92</v>
      </c>
      <c r="L791">
        <v>0</v>
      </c>
      <c r="M791">
        <v>13457.960800000001</v>
      </c>
    </row>
    <row r="792" spans="1:13" x14ac:dyDescent="0.35">
      <c r="A792" t="s">
        <v>12</v>
      </c>
      <c r="B792" t="s">
        <v>7</v>
      </c>
      <c r="C792" t="s">
        <v>11</v>
      </c>
      <c r="H792">
        <f>IF(B792="female", 0, 1)</f>
        <v>0</v>
      </c>
      <c r="I792">
        <f>IF(C792= "yes", 1, 0)</f>
        <v>0</v>
      </c>
      <c r="J792">
        <v>39</v>
      </c>
      <c r="K792">
        <v>41.8</v>
      </c>
      <c r="L792">
        <v>0</v>
      </c>
      <c r="M792">
        <v>5662.2250000000004</v>
      </c>
    </row>
    <row r="793" spans="1:13" x14ac:dyDescent="0.35">
      <c r="A793" t="s">
        <v>9</v>
      </c>
      <c r="B793" t="s">
        <v>10</v>
      </c>
      <c r="C793" t="s">
        <v>11</v>
      </c>
      <c r="H793">
        <f>IF(B793="female", 0, 1)</f>
        <v>1</v>
      </c>
      <c r="I793">
        <f>IF(C793= "yes", 1, 0)</f>
        <v>0</v>
      </c>
      <c r="J793">
        <v>19</v>
      </c>
      <c r="K793">
        <v>27.6</v>
      </c>
      <c r="L793">
        <v>0</v>
      </c>
      <c r="M793">
        <v>1252.4069999999999</v>
      </c>
    </row>
    <row r="794" spans="1:13" x14ac:dyDescent="0.35">
      <c r="A794" t="s">
        <v>14</v>
      </c>
      <c r="B794" t="s">
        <v>7</v>
      </c>
      <c r="C794" t="s">
        <v>11</v>
      </c>
      <c r="H794">
        <f>IF(B794="female", 0, 1)</f>
        <v>0</v>
      </c>
      <c r="I794">
        <f>IF(C794= "yes", 1, 0)</f>
        <v>0</v>
      </c>
      <c r="J794">
        <v>22</v>
      </c>
      <c r="K794">
        <v>23.18</v>
      </c>
      <c r="L794">
        <v>0</v>
      </c>
      <c r="M794">
        <v>2731.9122000000002</v>
      </c>
    </row>
    <row r="795" spans="1:13" x14ac:dyDescent="0.35">
      <c r="A795" t="s">
        <v>12</v>
      </c>
      <c r="B795" t="s">
        <v>10</v>
      </c>
      <c r="C795" t="s">
        <v>8</v>
      </c>
      <c r="H795">
        <f>IF(B795="female", 0, 1)</f>
        <v>1</v>
      </c>
      <c r="I795">
        <f>IF(C795= "yes", 1, 0)</f>
        <v>1</v>
      </c>
      <c r="J795">
        <v>53</v>
      </c>
      <c r="K795">
        <v>20.9</v>
      </c>
      <c r="L795">
        <v>0</v>
      </c>
      <c r="M795">
        <v>21195.817999999999</v>
      </c>
    </row>
    <row r="796" spans="1:13" x14ac:dyDescent="0.35">
      <c r="A796" t="s">
        <v>13</v>
      </c>
      <c r="B796" t="s">
        <v>7</v>
      </c>
      <c r="C796" t="s">
        <v>11</v>
      </c>
      <c r="H796">
        <f>IF(B796="female", 0, 1)</f>
        <v>0</v>
      </c>
      <c r="I796">
        <f>IF(C796= "yes", 1, 0)</f>
        <v>0</v>
      </c>
      <c r="J796">
        <v>39</v>
      </c>
      <c r="K796">
        <v>31.92</v>
      </c>
      <c r="L796">
        <v>2</v>
      </c>
      <c r="M796">
        <v>7209.4917999999998</v>
      </c>
    </row>
    <row r="797" spans="1:13" x14ac:dyDescent="0.35">
      <c r="A797" t="s">
        <v>13</v>
      </c>
      <c r="B797" t="s">
        <v>10</v>
      </c>
      <c r="C797" t="s">
        <v>8</v>
      </c>
      <c r="H797">
        <f>IF(B797="female", 0, 1)</f>
        <v>1</v>
      </c>
      <c r="I797">
        <f>IF(C797= "yes", 1, 0)</f>
        <v>1</v>
      </c>
      <c r="J797">
        <v>27</v>
      </c>
      <c r="K797">
        <v>28.5</v>
      </c>
      <c r="L797">
        <v>0</v>
      </c>
      <c r="M797">
        <v>18310.741999999998</v>
      </c>
    </row>
    <row r="798" spans="1:13" x14ac:dyDescent="0.35">
      <c r="A798" t="s">
        <v>12</v>
      </c>
      <c r="B798" t="s">
        <v>10</v>
      </c>
      <c r="C798" t="s">
        <v>11</v>
      </c>
      <c r="H798">
        <f>IF(B798="female", 0, 1)</f>
        <v>1</v>
      </c>
      <c r="I798">
        <f>IF(C798= "yes", 1, 0)</f>
        <v>0</v>
      </c>
      <c r="J798">
        <v>30</v>
      </c>
      <c r="K798">
        <v>44.22</v>
      </c>
      <c r="L798">
        <v>2</v>
      </c>
      <c r="M798">
        <v>4266.1657999999998</v>
      </c>
    </row>
    <row r="799" spans="1:13" x14ac:dyDescent="0.35">
      <c r="A799" t="s">
        <v>14</v>
      </c>
      <c r="B799" t="s">
        <v>7</v>
      </c>
      <c r="C799" t="s">
        <v>11</v>
      </c>
      <c r="H799">
        <f>IF(B799="female", 0, 1)</f>
        <v>0</v>
      </c>
      <c r="I799">
        <f>IF(C799= "yes", 1, 0)</f>
        <v>0</v>
      </c>
      <c r="J799">
        <v>30</v>
      </c>
      <c r="K799">
        <v>22.895</v>
      </c>
      <c r="L799">
        <v>1</v>
      </c>
      <c r="M799">
        <v>4719.52405</v>
      </c>
    </row>
    <row r="800" spans="1:13" x14ac:dyDescent="0.35">
      <c r="A800" t="s">
        <v>9</v>
      </c>
      <c r="B800" t="s">
        <v>7</v>
      </c>
      <c r="C800" t="s">
        <v>11</v>
      </c>
      <c r="H800">
        <f>IF(B800="female", 0, 1)</f>
        <v>0</v>
      </c>
      <c r="I800">
        <f>IF(C800= "yes", 1, 0)</f>
        <v>0</v>
      </c>
      <c r="J800">
        <v>58</v>
      </c>
      <c r="K800">
        <v>33.1</v>
      </c>
      <c r="L800">
        <v>0</v>
      </c>
      <c r="M800">
        <v>11848.141</v>
      </c>
    </row>
    <row r="801" spans="1:13" x14ac:dyDescent="0.35">
      <c r="A801" t="s">
        <v>14</v>
      </c>
      <c r="B801" t="s">
        <v>10</v>
      </c>
      <c r="C801" t="s">
        <v>8</v>
      </c>
      <c r="H801">
        <f>IF(B801="female", 0, 1)</f>
        <v>1</v>
      </c>
      <c r="I801">
        <f>IF(C801= "yes", 1, 0)</f>
        <v>1</v>
      </c>
      <c r="J801">
        <v>33</v>
      </c>
      <c r="K801">
        <v>24.795000000000002</v>
      </c>
      <c r="L801">
        <v>0</v>
      </c>
      <c r="M801">
        <v>17904.527050000001</v>
      </c>
    </row>
    <row r="802" spans="1:13" x14ac:dyDescent="0.35">
      <c r="A802" t="s">
        <v>12</v>
      </c>
      <c r="B802" t="s">
        <v>7</v>
      </c>
      <c r="C802" t="s">
        <v>11</v>
      </c>
      <c r="H802">
        <f>IF(B802="female", 0, 1)</f>
        <v>0</v>
      </c>
      <c r="I802">
        <f>IF(C802= "yes", 1, 0)</f>
        <v>0</v>
      </c>
      <c r="J802">
        <v>42</v>
      </c>
      <c r="K802">
        <v>26.18</v>
      </c>
      <c r="L802">
        <v>1</v>
      </c>
      <c r="M802">
        <v>7046.7222000000002</v>
      </c>
    </row>
    <row r="803" spans="1:13" x14ac:dyDescent="0.35">
      <c r="A803" t="s">
        <v>12</v>
      </c>
      <c r="B803" t="s">
        <v>7</v>
      </c>
      <c r="C803" t="s">
        <v>11</v>
      </c>
      <c r="H803">
        <f>IF(B803="female", 0, 1)</f>
        <v>0</v>
      </c>
      <c r="I803">
        <f>IF(C803= "yes", 1, 0)</f>
        <v>0</v>
      </c>
      <c r="J803">
        <v>64</v>
      </c>
      <c r="K803">
        <v>35.97</v>
      </c>
      <c r="L803">
        <v>0</v>
      </c>
      <c r="M803">
        <v>14313.846299999999</v>
      </c>
    </row>
    <row r="804" spans="1:13" x14ac:dyDescent="0.35">
      <c r="A804" t="s">
        <v>9</v>
      </c>
      <c r="B804" t="s">
        <v>10</v>
      </c>
      <c r="C804" t="s">
        <v>11</v>
      </c>
      <c r="H804">
        <f>IF(B804="female", 0, 1)</f>
        <v>1</v>
      </c>
      <c r="I804">
        <f>IF(C804= "yes", 1, 0)</f>
        <v>0</v>
      </c>
      <c r="J804">
        <v>21</v>
      </c>
      <c r="K804">
        <v>22.3</v>
      </c>
      <c r="L804">
        <v>1</v>
      </c>
      <c r="M804">
        <v>2103.08</v>
      </c>
    </row>
    <row r="805" spans="1:13" x14ac:dyDescent="0.35">
      <c r="A805" t="s">
        <v>12</v>
      </c>
      <c r="B805" t="s">
        <v>7</v>
      </c>
      <c r="C805" t="s">
        <v>8</v>
      </c>
      <c r="H805">
        <f>IF(B805="female", 0, 1)</f>
        <v>0</v>
      </c>
      <c r="I805">
        <f>IF(C805= "yes", 1, 0)</f>
        <v>1</v>
      </c>
      <c r="J805">
        <v>18</v>
      </c>
      <c r="K805">
        <v>42.24</v>
      </c>
      <c r="L805">
        <v>0</v>
      </c>
      <c r="M805">
        <v>38792.685599999997</v>
      </c>
    </row>
    <row r="806" spans="1:13" x14ac:dyDescent="0.35">
      <c r="A806" t="s">
        <v>12</v>
      </c>
      <c r="B806" t="s">
        <v>10</v>
      </c>
      <c r="C806" t="s">
        <v>11</v>
      </c>
      <c r="H806">
        <f>IF(B806="female", 0, 1)</f>
        <v>1</v>
      </c>
      <c r="I806">
        <f>IF(C806= "yes", 1, 0)</f>
        <v>0</v>
      </c>
      <c r="J806">
        <v>23</v>
      </c>
      <c r="K806">
        <v>26.51</v>
      </c>
      <c r="L806">
        <v>0</v>
      </c>
      <c r="M806">
        <v>1815.8759</v>
      </c>
    </row>
    <row r="807" spans="1:13" x14ac:dyDescent="0.35">
      <c r="A807" t="s">
        <v>13</v>
      </c>
      <c r="B807" t="s">
        <v>7</v>
      </c>
      <c r="C807" t="s">
        <v>11</v>
      </c>
      <c r="H807">
        <f>IF(B807="female", 0, 1)</f>
        <v>0</v>
      </c>
      <c r="I807">
        <f>IF(C807= "yes", 1, 0)</f>
        <v>0</v>
      </c>
      <c r="J807">
        <v>45</v>
      </c>
      <c r="K807">
        <v>35.814999999999998</v>
      </c>
      <c r="L807">
        <v>0</v>
      </c>
      <c r="M807">
        <v>7731.8578500000003</v>
      </c>
    </row>
    <row r="808" spans="1:13" x14ac:dyDescent="0.35">
      <c r="A808" t="s">
        <v>13</v>
      </c>
      <c r="B808" t="s">
        <v>7</v>
      </c>
      <c r="C808" t="s">
        <v>11</v>
      </c>
      <c r="H808">
        <f>IF(B808="female", 0, 1)</f>
        <v>0</v>
      </c>
      <c r="I808">
        <f>IF(C808= "yes", 1, 0)</f>
        <v>0</v>
      </c>
      <c r="J808">
        <v>40</v>
      </c>
      <c r="K808">
        <v>41.42</v>
      </c>
      <c r="L808">
        <v>1</v>
      </c>
      <c r="M808">
        <v>28476.734990000001</v>
      </c>
    </row>
    <row r="809" spans="1:13" x14ac:dyDescent="0.35">
      <c r="A809" t="s">
        <v>13</v>
      </c>
      <c r="B809" t="s">
        <v>7</v>
      </c>
      <c r="C809" t="s">
        <v>11</v>
      </c>
      <c r="H809">
        <f>IF(B809="female", 0, 1)</f>
        <v>0</v>
      </c>
      <c r="I809">
        <f>IF(C809= "yes", 1, 0)</f>
        <v>0</v>
      </c>
      <c r="J809">
        <v>19</v>
      </c>
      <c r="K809">
        <v>36.575000000000003</v>
      </c>
      <c r="L809">
        <v>0</v>
      </c>
      <c r="M809">
        <v>2136.8822500000001</v>
      </c>
    </row>
    <row r="810" spans="1:13" x14ac:dyDescent="0.35">
      <c r="A810" t="s">
        <v>12</v>
      </c>
      <c r="B810" t="s">
        <v>10</v>
      </c>
      <c r="C810" t="s">
        <v>11</v>
      </c>
      <c r="H810">
        <f>IF(B810="female", 0, 1)</f>
        <v>1</v>
      </c>
      <c r="I810">
        <f>IF(C810= "yes", 1, 0)</f>
        <v>0</v>
      </c>
      <c r="J810">
        <v>18</v>
      </c>
      <c r="K810">
        <v>30.14</v>
      </c>
      <c r="L810">
        <v>0</v>
      </c>
      <c r="M810">
        <v>1131.5065999999999</v>
      </c>
    </row>
    <row r="811" spans="1:13" x14ac:dyDescent="0.35">
      <c r="A811" t="s">
        <v>14</v>
      </c>
      <c r="B811" t="s">
        <v>10</v>
      </c>
      <c r="C811" t="s">
        <v>11</v>
      </c>
      <c r="H811">
        <f>IF(B811="female", 0, 1)</f>
        <v>1</v>
      </c>
      <c r="I811">
        <f>IF(C811= "yes", 1, 0)</f>
        <v>0</v>
      </c>
      <c r="J811">
        <v>25</v>
      </c>
      <c r="K811">
        <v>25.84</v>
      </c>
      <c r="L811">
        <v>1</v>
      </c>
      <c r="M811">
        <v>3309.7926000000002</v>
      </c>
    </row>
    <row r="812" spans="1:13" x14ac:dyDescent="0.35">
      <c r="A812" t="s">
        <v>9</v>
      </c>
      <c r="B812" t="s">
        <v>7</v>
      </c>
      <c r="C812" t="s">
        <v>11</v>
      </c>
      <c r="H812">
        <f>IF(B812="female", 0, 1)</f>
        <v>0</v>
      </c>
      <c r="I812">
        <f>IF(C812= "yes", 1, 0)</f>
        <v>0</v>
      </c>
      <c r="J812">
        <v>46</v>
      </c>
      <c r="K812">
        <v>30.8</v>
      </c>
      <c r="L812">
        <v>3</v>
      </c>
      <c r="M812">
        <v>9414.92</v>
      </c>
    </row>
    <row r="813" spans="1:13" x14ac:dyDescent="0.35">
      <c r="A813" t="s">
        <v>13</v>
      </c>
      <c r="B813" t="s">
        <v>7</v>
      </c>
      <c r="C813" t="s">
        <v>11</v>
      </c>
      <c r="H813">
        <f>IF(B813="female", 0, 1)</f>
        <v>0</v>
      </c>
      <c r="I813">
        <f>IF(C813= "yes", 1, 0)</f>
        <v>0</v>
      </c>
      <c r="J813">
        <v>33</v>
      </c>
      <c r="K813">
        <v>42.94</v>
      </c>
      <c r="L813">
        <v>3</v>
      </c>
      <c r="M813">
        <v>6360.9935999999998</v>
      </c>
    </row>
    <row r="814" spans="1:13" x14ac:dyDescent="0.35">
      <c r="A814" t="s">
        <v>12</v>
      </c>
      <c r="B814" t="s">
        <v>10</v>
      </c>
      <c r="C814" t="s">
        <v>11</v>
      </c>
      <c r="H814">
        <f>IF(B814="female", 0, 1)</f>
        <v>1</v>
      </c>
      <c r="I814">
        <f>IF(C814= "yes", 1, 0)</f>
        <v>0</v>
      </c>
      <c r="J814">
        <v>54</v>
      </c>
      <c r="K814">
        <v>21.01</v>
      </c>
      <c r="L814">
        <v>2</v>
      </c>
      <c r="M814">
        <v>11013.7119</v>
      </c>
    </row>
    <row r="815" spans="1:13" x14ac:dyDescent="0.35">
      <c r="A815" t="s">
        <v>14</v>
      </c>
      <c r="B815" t="s">
        <v>10</v>
      </c>
      <c r="C815" t="s">
        <v>11</v>
      </c>
      <c r="H815">
        <f>IF(B815="female", 0, 1)</f>
        <v>1</v>
      </c>
      <c r="I815">
        <f>IF(C815= "yes", 1, 0)</f>
        <v>0</v>
      </c>
      <c r="J815">
        <v>28</v>
      </c>
      <c r="K815">
        <v>22.515000000000001</v>
      </c>
      <c r="L815">
        <v>2</v>
      </c>
      <c r="M815">
        <v>4428.8878500000001</v>
      </c>
    </row>
    <row r="816" spans="1:13" x14ac:dyDescent="0.35">
      <c r="A816" t="s">
        <v>12</v>
      </c>
      <c r="B816" t="s">
        <v>10</v>
      </c>
      <c r="C816" t="s">
        <v>11</v>
      </c>
      <c r="H816">
        <f>IF(B816="female", 0, 1)</f>
        <v>1</v>
      </c>
      <c r="I816">
        <f>IF(C816= "yes", 1, 0)</f>
        <v>0</v>
      </c>
      <c r="J816">
        <v>36</v>
      </c>
      <c r="K816">
        <v>34.43</v>
      </c>
      <c r="L816">
        <v>2</v>
      </c>
      <c r="M816">
        <v>5584.3056999999999</v>
      </c>
    </row>
    <row r="817" spans="1:13" x14ac:dyDescent="0.35">
      <c r="A817" t="s">
        <v>12</v>
      </c>
      <c r="B817" t="s">
        <v>7</v>
      </c>
      <c r="C817" t="s">
        <v>11</v>
      </c>
      <c r="H817">
        <f>IF(B817="female", 0, 1)</f>
        <v>0</v>
      </c>
      <c r="I817">
        <f>IF(C817= "yes", 1, 0)</f>
        <v>0</v>
      </c>
      <c r="J817">
        <v>20</v>
      </c>
      <c r="K817">
        <v>31.46</v>
      </c>
      <c r="L817">
        <v>0</v>
      </c>
      <c r="M817">
        <v>1877.9294</v>
      </c>
    </row>
    <row r="818" spans="1:13" x14ac:dyDescent="0.35">
      <c r="A818" t="s">
        <v>13</v>
      </c>
      <c r="B818" t="s">
        <v>7</v>
      </c>
      <c r="C818" t="s">
        <v>11</v>
      </c>
      <c r="H818">
        <f>IF(B818="female", 0, 1)</f>
        <v>0</v>
      </c>
      <c r="I818">
        <f>IF(C818= "yes", 1, 0)</f>
        <v>0</v>
      </c>
      <c r="J818">
        <v>24</v>
      </c>
      <c r="K818">
        <v>24.225000000000001</v>
      </c>
      <c r="L818">
        <v>0</v>
      </c>
      <c r="M818">
        <v>2842.7607499999999</v>
      </c>
    </row>
    <row r="819" spans="1:13" x14ac:dyDescent="0.35">
      <c r="A819" t="s">
        <v>9</v>
      </c>
      <c r="B819" t="s">
        <v>10</v>
      </c>
      <c r="C819" t="s">
        <v>11</v>
      </c>
      <c r="H819">
        <f>IF(B819="female", 0, 1)</f>
        <v>1</v>
      </c>
      <c r="I819">
        <f>IF(C819= "yes", 1, 0)</f>
        <v>0</v>
      </c>
      <c r="J819">
        <v>23</v>
      </c>
      <c r="K819">
        <v>37.1</v>
      </c>
      <c r="L819">
        <v>3</v>
      </c>
      <c r="M819">
        <v>3597.596</v>
      </c>
    </row>
    <row r="820" spans="1:13" x14ac:dyDescent="0.35">
      <c r="A820" t="s">
        <v>14</v>
      </c>
      <c r="B820" t="s">
        <v>7</v>
      </c>
      <c r="C820" t="s">
        <v>8</v>
      </c>
      <c r="H820">
        <f>IF(B820="female", 0, 1)</f>
        <v>0</v>
      </c>
      <c r="I820">
        <f>IF(C820= "yes", 1, 0)</f>
        <v>1</v>
      </c>
      <c r="J820">
        <v>47</v>
      </c>
      <c r="K820">
        <v>26.125</v>
      </c>
      <c r="L820">
        <v>1</v>
      </c>
      <c r="M820">
        <v>23401.30575</v>
      </c>
    </row>
    <row r="821" spans="1:13" x14ac:dyDescent="0.35">
      <c r="A821" t="s">
        <v>13</v>
      </c>
      <c r="B821" t="s">
        <v>7</v>
      </c>
      <c r="C821" t="s">
        <v>8</v>
      </c>
      <c r="H821">
        <f>IF(B821="female", 0, 1)</f>
        <v>0</v>
      </c>
      <c r="I821">
        <f>IF(C821= "yes", 1, 0)</f>
        <v>1</v>
      </c>
      <c r="J821">
        <v>33</v>
      </c>
      <c r="K821">
        <v>35.53</v>
      </c>
      <c r="L821">
        <v>0</v>
      </c>
      <c r="M821">
        <v>55135.402090000003</v>
      </c>
    </row>
    <row r="822" spans="1:13" x14ac:dyDescent="0.35">
      <c r="A822" t="s">
        <v>9</v>
      </c>
      <c r="B822" t="s">
        <v>10</v>
      </c>
      <c r="C822" t="s">
        <v>11</v>
      </c>
      <c r="H822">
        <f>IF(B822="female", 0, 1)</f>
        <v>1</v>
      </c>
      <c r="I822">
        <f>IF(C822= "yes", 1, 0)</f>
        <v>0</v>
      </c>
      <c r="J822">
        <v>45</v>
      </c>
      <c r="K822">
        <v>33.700000000000003</v>
      </c>
      <c r="L822">
        <v>1</v>
      </c>
      <c r="M822">
        <v>7445.9179999999997</v>
      </c>
    </row>
    <row r="823" spans="1:13" x14ac:dyDescent="0.35">
      <c r="A823" t="s">
        <v>13</v>
      </c>
      <c r="B823" t="s">
        <v>10</v>
      </c>
      <c r="C823" t="s">
        <v>11</v>
      </c>
      <c r="H823">
        <f>IF(B823="female", 0, 1)</f>
        <v>1</v>
      </c>
      <c r="I823">
        <f>IF(C823= "yes", 1, 0)</f>
        <v>0</v>
      </c>
      <c r="J823">
        <v>26</v>
      </c>
      <c r="K823">
        <v>17.670000000000002</v>
      </c>
      <c r="L823">
        <v>0</v>
      </c>
      <c r="M823">
        <v>2680.9493000000002</v>
      </c>
    </row>
    <row r="824" spans="1:13" x14ac:dyDescent="0.35">
      <c r="A824" t="s">
        <v>12</v>
      </c>
      <c r="B824" t="s">
        <v>7</v>
      </c>
      <c r="C824" t="s">
        <v>11</v>
      </c>
      <c r="H824">
        <f>IF(B824="female", 0, 1)</f>
        <v>0</v>
      </c>
      <c r="I824">
        <f>IF(C824= "yes", 1, 0)</f>
        <v>0</v>
      </c>
      <c r="J824">
        <v>18</v>
      </c>
      <c r="K824">
        <v>31.13</v>
      </c>
      <c r="L824">
        <v>0</v>
      </c>
      <c r="M824">
        <v>1621.8827000000001</v>
      </c>
    </row>
    <row r="825" spans="1:13" x14ac:dyDescent="0.35">
      <c r="A825" t="s">
        <v>12</v>
      </c>
      <c r="B825" t="s">
        <v>7</v>
      </c>
      <c r="C825" t="s">
        <v>11</v>
      </c>
      <c r="H825">
        <f>IF(B825="female", 0, 1)</f>
        <v>0</v>
      </c>
      <c r="I825">
        <f>IF(C825= "yes", 1, 0)</f>
        <v>0</v>
      </c>
      <c r="J825">
        <v>44</v>
      </c>
      <c r="K825">
        <v>29.81</v>
      </c>
      <c r="L825">
        <v>2</v>
      </c>
      <c r="M825">
        <v>8219.2039000000004</v>
      </c>
    </row>
    <row r="826" spans="1:13" x14ac:dyDescent="0.35">
      <c r="A826" t="s">
        <v>13</v>
      </c>
      <c r="B826" t="s">
        <v>10</v>
      </c>
      <c r="C826" t="s">
        <v>11</v>
      </c>
      <c r="H826">
        <f>IF(B826="female", 0, 1)</f>
        <v>1</v>
      </c>
      <c r="I826">
        <f>IF(C826= "yes", 1, 0)</f>
        <v>0</v>
      </c>
      <c r="J826">
        <v>60</v>
      </c>
      <c r="K826">
        <v>24.32</v>
      </c>
      <c r="L826">
        <v>0</v>
      </c>
      <c r="M826">
        <v>12523.604799999999</v>
      </c>
    </row>
    <row r="827" spans="1:13" x14ac:dyDescent="0.35">
      <c r="A827" t="s">
        <v>14</v>
      </c>
      <c r="B827" t="s">
        <v>7</v>
      </c>
      <c r="C827" t="s">
        <v>11</v>
      </c>
      <c r="H827">
        <f>IF(B827="female", 0, 1)</f>
        <v>0</v>
      </c>
      <c r="I827">
        <f>IF(C827= "yes", 1, 0)</f>
        <v>0</v>
      </c>
      <c r="J827">
        <v>64</v>
      </c>
      <c r="K827">
        <v>31.824999999999999</v>
      </c>
      <c r="L827">
        <v>2</v>
      </c>
      <c r="M827">
        <v>16069.08475</v>
      </c>
    </row>
    <row r="828" spans="1:13" x14ac:dyDescent="0.35">
      <c r="A828" t="s">
        <v>12</v>
      </c>
      <c r="B828" t="s">
        <v>10</v>
      </c>
      <c r="C828" t="s">
        <v>8</v>
      </c>
      <c r="H828">
        <f>IF(B828="female", 0, 1)</f>
        <v>1</v>
      </c>
      <c r="I828">
        <f>IF(C828= "yes", 1, 0)</f>
        <v>1</v>
      </c>
      <c r="J828">
        <v>56</v>
      </c>
      <c r="K828">
        <v>31.79</v>
      </c>
      <c r="L828">
        <v>2</v>
      </c>
      <c r="M828">
        <v>43813.866099999999</v>
      </c>
    </row>
    <row r="829" spans="1:13" x14ac:dyDescent="0.35">
      <c r="A829" t="s">
        <v>14</v>
      </c>
      <c r="B829" t="s">
        <v>10</v>
      </c>
      <c r="C829" t="s">
        <v>8</v>
      </c>
      <c r="H829">
        <f>IF(B829="female", 0, 1)</f>
        <v>1</v>
      </c>
      <c r="I829">
        <f>IF(C829= "yes", 1, 0)</f>
        <v>1</v>
      </c>
      <c r="J829">
        <v>36</v>
      </c>
      <c r="K829">
        <v>28.024999999999999</v>
      </c>
      <c r="L829">
        <v>1</v>
      </c>
      <c r="M829">
        <v>20773.62775</v>
      </c>
    </row>
    <row r="830" spans="1:13" x14ac:dyDescent="0.35">
      <c r="A830" t="s">
        <v>14</v>
      </c>
      <c r="B830" t="s">
        <v>10</v>
      </c>
      <c r="C830" t="s">
        <v>8</v>
      </c>
      <c r="H830">
        <f>IF(B830="female", 0, 1)</f>
        <v>1</v>
      </c>
      <c r="I830">
        <f>IF(C830= "yes", 1, 0)</f>
        <v>1</v>
      </c>
      <c r="J830">
        <v>41</v>
      </c>
      <c r="K830">
        <v>30.78</v>
      </c>
      <c r="L830">
        <v>3</v>
      </c>
      <c r="M830">
        <v>39597.407200000001</v>
      </c>
    </row>
    <row r="831" spans="1:13" x14ac:dyDescent="0.35">
      <c r="A831" t="s">
        <v>13</v>
      </c>
      <c r="B831" t="s">
        <v>10</v>
      </c>
      <c r="C831" t="s">
        <v>11</v>
      </c>
      <c r="H831">
        <f>IF(B831="female", 0, 1)</f>
        <v>1</v>
      </c>
      <c r="I831">
        <f>IF(C831= "yes", 1, 0)</f>
        <v>0</v>
      </c>
      <c r="J831">
        <v>39</v>
      </c>
      <c r="K831">
        <v>21.85</v>
      </c>
      <c r="L831">
        <v>1</v>
      </c>
      <c r="M831">
        <v>6117.4944999999998</v>
      </c>
    </row>
    <row r="832" spans="1:13" x14ac:dyDescent="0.35">
      <c r="A832" t="s">
        <v>9</v>
      </c>
      <c r="B832" t="s">
        <v>10</v>
      </c>
      <c r="C832" t="s">
        <v>11</v>
      </c>
      <c r="H832">
        <f>IF(B832="female", 0, 1)</f>
        <v>1</v>
      </c>
      <c r="I832">
        <f>IF(C832= "yes", 1, 0)</f>
        <v>0</v>
      </c>
      <c r="J832">
        <v>63</v>
      </c>
      <c r="K832">
        <v>33.1</v>
      </c>
      <c r="L832">
        <v>0</v>
      </c>
      <c r="M832">
        <v>13393.755999999999</v>
      </c>
    </row>
    <row r="833" spans="1:13" x14ac:dyDescent="0.35">
      <c r="A833" t="s">
        <v>13</v>
      </c>
      <c r="B833" t="s">
        <v>7</v>
      </c>
      <c r="C833" t="s">
        <v>11</v>
      </c>
      <c r="H833">
        <f>IF(B833="female", 0, 1)</f>
        <v>0</v>
      </c>
      <c r="I833">
        <f>IF(C833= "yes", 1, 0)</f>
        <v>0</v>
      </c>
      <c r="J833">
        <v>36</v>
      </c>
      <c r="K833">
        <v>25.84</v>
      </c>
      <c r="L833">
        <v>0</v>
      </c>
      <c r="M833">
        <v>5266.3656000000001</v>
      </c>
    </row>
    <row r="834" spans="1:13" x14ac:dyDescent="0.35">
      <c r="A834" t="s">
        <v>13</v>
      </c>
      <c r="B834" t="s">
        <v>7</v>
      </c>
      <c r="C834" t="s">
        <v>11</v>
      </c>
      <c r="H834">
        <f>IF(B834="female", 0, 1)</f>
        <v>0</v>
      </c>
      <c r="I834">
        <f>IF(C834= "yes", 1, 0)</f>
        <v>0</v>
      </c>
      <c r="J834">
        <v>28</v>
      </c>
      <c r="K834">
        <v>23.844999999999999</v>
      </c>
      <c r="L834">
        <v>2</v>
      </c>
      <c r="M834">
        <v>4719.7365499999996</v>
      </c>
    </row>
    <row r="835" spans="1:13" x14ac:dyDescent="0.35">
      <c r="A835" t="s">
        <v>13</v>
      </c>
      <c r="B835" t="s">
        <v>10</v>
      </c>
      <c r="C835" t="s">
        <v>11</v>
      </c>
      <c r="H835">
        <f>IF(B835="female", 0, 1)</f>
        <v>1</v>
      </c>
      <c r="I835">
        <f>IF(C835= "yes", 1, 0)</f>
        <v>0</v>
      </c>
      <c r="J835">
        <v>58</v>
      </c>
      <c r="K835">
        <v>34.39</v>
      </c>
      <c r="L835">
        <v>0</v>
      </c>
      <c r="M835">
        <v>11743.9341</v>
      </c>
    </row>
    <row r="836" spans="1:13" x14ac:dyDescent="0.35">
      <c r="A836" t="s">
        <v>13</v>
      </c>
      <c r="B836" t="s">
        <v>10</v>
      </c>
      <c r="C836" t="s">
        <v>11</v>
      </c>
      <c r="H836">
        <f>IF(B836="female", 0, 1)</f>
        <v>1</v>
      </c>
      <c r="I836">
        <f>IF(C836= "yes", 1, 0)</f>
        <v>0</v>
      </c>
      <c r="J836">
        <v>36</v>
      </c>
      <c r="K836">
        <v>33.82</v>
      </c>
      <c r="L836">
        <v>1</v>
      </c>
      <c r="M836">
        <v>5377.4578000000001</v>
      </c>
    </row>
    <row r="837" spans="1:13" x14ac:dyDescent="0.35">
      <c r="A837" t="s">
        <v>12</v>
      </c>
      <c r="B837" t="s">
        <v>10</v>
      </c>
      <c r="C837" t="s">
        <v>11</v>
      </c>
      <c r="H837">
        <f>IF(B837="female", 0, 1)</f>
        <v>1</v>
      </c>
      <c r="I837">
        <f>IF(C837= "yes", 1, 0)</f>
        <v>0</v>
      </c>
      <c r="J837">
        <v>42</v>
      </c>
      <c r="K837">
        <v>35.97</v>
      </c>
      <c r="L837">
        <v>2</v>
      </c>
      <c r="M837">
        <v>7160.3302999999996</v>
      </c>
    </row>
    <row r="838" spans="1:13" x14ac:dyDescent="0.35">
      <c r="A838" t="s">
        <v>9</v>
      </c>
      <c r="B838" t="s">
        <v>10</v>
      </c>
      <c r="C838" t="s">
        <v>11</v>
      </c>
      <c r="H838">
        <f>IF(B838="female", 0, 1)</f>
        <v>1</v>
      </c>
      <c r="I838">
        <f>IF(C838= "yes", 1, 0)</f>
        <v>0</v>
      </c>
      <c r="J838">
        <v>36</v>
      </c>
      <c r="K838">
        <v>31.5</v>
      </c>
      <c r="L838">
        <v>0</v>
      </c>
      <c r="M838">
        <v>4402.2330000000002</v>
      </c>
    </row>
    <row r="839" spans="1:13" x14ac:dyDescent="0.35">
      <c r="A839" t="s">
        <v>14</v>
      </c>
      <c r="B839" t="s">
        <v>7</v>
      </c>
      <c r="C839" t="s">
        <v>11</v>
      </c>
      <c r="H839">
        <f>IF(B839="female", 0, 1)</f>
        <v>0</v>
      </c>
      <c r="I839">
        <f>IF(C839= "yes", 1, 0)</f>
        <v>0</v>
      </c>
      <c r="J839">
        <v>56</v>
      </c>
      <c r="K839">
        <v>28.31</v>
      </c>
      <c r="L839">
        <v>0</v>
      </c>
      <c r="M839">
        <v>11657.7189</v>
      </c>
    </row>
    <row r="840" spans="1:13" x14ac:dyDescent="0.35">
      <c r="A840" t="s">
        <v>14</v>
      </c>
      <c r="B840" t="s">
        <v>7</v>
      </c>
      <c r="C840" t="s">
        <v>11</v>
      </c>
      <c r="H840">
        <f>IF(B840="female", 0, 1)</f>
        <v>0</v>
      </c>
      <c r="I840">
        <f>IF(C840= "yes", 1, 0)</f>
        <v>0</v>
      </c>
      <c r="J840">
        <v>35</v>
      </c>
      <c r="K840">
        <v>23.465</v>
      </c>
      <c r="L840">
        <v>2</v>
      </c>
      <c r="M840">
        <v>6402.2913500000004</v>
      </c>
    </row>
    <row r="841" spans="1:13" x14ac:dyDescent="0.35">
      <c r="A841" t="s">
        <v>13</v>
      </c>
      <c r="B841" t="s">
        <v>7</v>
      </c>
      <c r="C841" t="s">
        <v>11</v>
      </c>
      <c r="H841">
        <f>IF(B841="female", 0, 1)</f>
        <v>0</v>
      </c>
      <c r="I841">
        <f>IF(C841= "yes", 1, 0)</f>
        <v>0</v>
      </c>
      <c r="J841">
        <v>59</v>
      </c>
      <c r="K841">
        <v>31.35</v>
      </c>
      <c r="L841">
        <v>0</v>
      </c>
      <c r="M841">
        <v>12622.1795</v>
      </c>
    </row>
    <row r="842" spans="1:13" x14ac:dyDescent="0.35">
      <c r="A842" t="s">
        <v>9</v>
      </c>
      <c r="B842" t="s">
        <v>10</v>
      </c>
      <c r="C842" t="s">
        <v>11</v>
      </c>
      <c r="H842">
        <f>IF(B842="female", 0, 1)</f>
        <v>1</v>
      </c>
      <c r="I842">
        <f>IF(C842= "yes", 1, 0)</f>
        <v>0</v>
      </c>
      <c r="J842">
        <v>21</v>
      </c>
      <c r="K842">
        <v>31.1</v>
      </c>
      <c r="L842">
        <v>0</v>
      </c>
      <c r="M842">
        <v>1526.3119999999999</v>
      </c>
    </row>
    <row r="843" spans="1:13" x14ac:dyDescent="0.35">
      <c r="A843" t="s">
        <v>14</v>
      </c>
      <c r="B843" t="s">
        <v>10</v>
      </c>
      <c r="C843" t="s">
        <v>11</v>
      </c>
      <c r="H843">
        <f>IF(B843="female", 0, 1)</f>
        <v>1</v>
      </c>
      <c r="I843">
        <f>IF(C843= "yes", 1, 0)</f>
        <v>0</v>
      </c>
      <c r="J843">
        <v>59</v>
      </c>
      <c r="K843">
        <v>24.7</v>
      </c>
      <c r="L843">
        <v>0</v>
      </c>
      <c r="M843">
        <v>12323.936</v>
      </c>
    </row>
    <row r="844" spans="1:13" x14ac:dyDescent="0.35">
      <c r="A844" t="s">
        <v>12</v>
      </c>
      <c r="B844" t="s">
        <v>7</v>
      </c>
      <c r="C844" t="s">
        <v>8</v>
      </c>
      <c r="H844">
        <f>IF(B844="female", 0, 1)</f>
        <v>0</v>
      </c>
      <c r="I844">
        <f>IF(C844= "yes", 1, 0)</f>
        <v>1</v>
      </c>
      <c r="J844">
        <v>23</v>
      </c>
      <c r="K844">
        <v>32.78</v>
      </c>
      <c r="L844">
        <v>2</v>
      </c>
      <c r="M844">
        <v>36021.011200000001</v>
      </c>
    </row>
    <row r="845" spans="1:13" x14ac:dyDescent="0.35">
      <c r="A845" t="s">
        <v>12</v>
      </c>
      <c r="B845" t="s">
        <v>7</v>
      </c>
      <c r="C845" t="s">
        <v>8</v>
      </c>
      <c r="H845">
        <f>IF(B845="female", 0, 1)</f>
        <v>0</v>
      </c>
      <c r="I845">
        <f>IF(C845= "yes", 1, 0)</f>
        <v>1</v>
      </c>
      <c r="J845">
        <v>57</v>
      </c>
      <c r="K845">
        <v>29.81</v>
      </c>
      <c r="L845">
        <v>0</v>
      </c>
      <c r="M845">
        <v>27533.912899999999</v>
      </c>
    </row>
    <row r="846" spans="1:13" x14ac:dyDescent="0.35">
      <c r="A846" t="s">
        <v>14</v>
      </c>
      <c r="B846" t="s">
        <v>10</v>
      </c>
      <c r="C846" t="s">
        <v>11</v>
      </c>
      <c r="H846">
        <f>IF(B846="female", 0, 1)</f>
        <v>1</v>
      </c>
      <c r="I846">
        <f>IF(C846= "yes", 1, 0)</f>
        <v>0</v>
      </c>
      <c r="J846">
        <v>53</v>
      </c>
      <c r="K846">
        <v>30.495000000000001</v>
      </c>
      <c r="L846">
        <v>0</v>
      </c>
      <c r="M846">
        <v>10072.055050000001</v>
      </c>
    </row>
    <row r="847" spans="1:13" x14ac:dyDescent="0.35">
      <c r="A847" t="s">
        <v>12</v>
      </c>
      <c r="B847" t="s">
        <v>7</v>
      </c>
      <c r="C847" t="s">
        <v>8</v>
      </c>
      <c r="H847">
        <f>IF(B847="female", 0, 1)</f>
        <v>0</v>
      </c>
      <c r="I847">
        <f>IF(C847= "yes", 1, 0)</f>
        <v>1</v>
      </c>
      <c r="J847">
        <v>60</v>
      </c>
      <c r="K847">
        <v>32.450000000000003</v>
      </c>
      <c r="L847">
        <v>0</v>
      </c>
      <c r="M847">
        <v>45008.955499999996</v>
      </c>
    </row>
    <row r="848" spans="1:13" x14ac:dyDescent="0.35">
      <c r="A848" t="s">
        <v>9</v>
      </c>
      <c r="B848" t="s">
        <v>7</v>
      </c>
      <c r="C848" t="s">
        <v>11</v>
      </c>
      <c r="H848">
        <f>IF(B848="female", 0, 1)</f>
        <v>0</v>
      </c>
      <c r="I848">
        <f>IF(C848= "yes", 1, 0)</f>
        <v>0</v>
      </c>
      <c r="J848">
        <v>51</v>
      </c>
      <c r="K848">
        <v>34.200000000000003</v>
      </c>
      <c r="L848">
        <v>1</v>
      </c>
      <c r="M848">
        <v>9872.7009999999991</v>
      </c>
    </row>
    <row r="849" spans="1:13" x14ac:dyDescent="0.35">
      <c r="A849" t="s">
        <v>12</v>
      </c>
      <c r="B849" t="s">
        <v>10</v>
      </c>
      <c r="C849" t="s">
        <v>11</v>
      </c>
      <c r="H849">
        <f>IF(B849="female", 0, 1)</f>
        <v>1</v>
      </c>
      <c r="I849">
        <f>IF(C849= "yes", 1, 0)</f>
        <v>0</v>
      </c>
      <c r="J849">
        <v>23</v>
      </c>
      <c r="K849">
        <v>50.38</v>
      </c>
      <c r="L849">
        <v>1</v>
      </c>
      <c r="M849">
        <v>2438.0551999999998</v>
      </c>
    </row>
    <row r="850" spans="1:13" x14ac:dyDescent="0.35">
      <c r="A850" t="s">
        <v>9</v>
      </c>
      <c r="B850" t="s">
        <v>7</v>
      </c>
      <c r="C850" t="s">
        <v>11</v>
      </c>
      <c r="H850">
        <f>IF(B850="female", 0, 1)</f>
        <v>0</v>
      </c>
      <c r="I850">
        <f>IF(C850= "yes", 1, 0)</f>
        <v>0</v>
      </c>
      <c r="J850">
        <v>27</v>
      </c>
      <c r="K850">
        <v>24.1</v>
      </c>
      <c r="L850">
        <v>0</v>
      </c>
      <c r="M850">
        <v>2974.1260000000002</v>
      </c>
    </row>
    <row r="851" spans="1:13" x14ac:dyDescent="0.35">
      <c r="A851" t="s">
        <v>13</v>
      </c>
      <c r="B851" t="s">
        <v>10</v>
      </c>
      <c r="C851" t="s">
        <v>11</v>
      </c>
      <c r="H851">
        <f>IF(B851="female", 0, 1)</f>
        <v>1</v>
      </c>
      <c r="I851">
        <f>IF(C851= "yes", 1, 0)</f>
        <v>0</v>
      </c>
      <c r="J851">
        <v>55</v>
      </c>
      <c r="K851">
        <v>32.774999999999999</v>
      </c>
      <c r="L851">
        <v>0</v>
      </c>
      <c r="M851">
        <v>10601.632250000001</v>
      </c>
    </row>
    <row r="852" spans="1:13" x14ac:dyDescent="0.35">
      <c r="A852" t="s">
        <v>14</v>
      </c>
      <c r="B852" t="s">
        <v>7</v>
      </c>
      <c r="C852" t="s">
        <v>8</v>
      </c>
      <c r="H852">
        <f>IF(B852="female", 0, 1)</f>
        <v>0</v>
      </c>
      <c r="I852">
        <f>IF(C852= "yes", 1, 0)</f>
        <v>1</v>
      </c>
      <c r="J852">
        <v>37</v>
      </c>
      <c r="K852">
        <v>30.78</v>
      </c>
      <c r="L852">
        <v>0</v>
      </c>
      <c r="M852">
        <v>37270.1512</v>
      </c>
    </row>
    <row r="853" spans="1:13" x14ac:dyDescent="0.35">
      <c r="A853" t="s">
        <v>13</v>
      </c>
      <c r="B853" t="s">
        <v>10</v>
      </c>
      <c r="C853" t="s">
        <v>11</v>
      </c>
      <c r="H853">
        <f>IF(B853="female", 0, 1)</f>
        <v>1</v>
      </c>
      <c r="I853">
        <f>IF(C853= "yes", 1, 0)</f>
        <v>0</v>
      </c>
      <c r="J853">
        <v>61</v>
      </c>
      <c r="K853">
        <v>32.299999999999997</v>
      </c>
      <c r="L853">
        <v>2</v>
      </c>
      <c r="M853">
        <v>14119.62</v>
      </c>
    </row>
    <row r="854" spans="1:13" x14ac:dyDescent="0.35">
      <c r="A854" t="s">
        <v>14</v>
      </c>
      <c r="B854" t="s">
        <v>7</v>
      </c>
      <c r="C854" t="s">
        <v>8</v>
      </c>
      <c r="H854">
        <f>IF(B854="female", 0, 1)</f>
        <v>0</v>
      </c>
      <c r="I854">
        <f>IF(C854= "yes", 1, 0)</f>
        <v>1</v>
      </c>
      <c r="J854">
        <v>46</v>
      </c>
      <c r="K854">
        <v>35.53</v>
      </c>
      <c r="L854">
        <v>0</v>
      </c>
      <c r="M854">
        <v>42111.664700000001</v>
      </c>
    </row>
    <row r="855" spans="1:13" x14ac:dyDescent="0.35">
      <c r="A855" t="s">
        <v>14</v>
      </c>
      <c r="B855" t="s">
        <v>7</v>
      </c>
      <c r="C855" t="s">
        <v>11</v>
      </c>
      <c r="H855">
        <f>IF(B855="female", 0, 1)</f>
        <v>0</v>
      </c>
      <c r="I855">
        <f>IF(C855= "yes", 1, 0)</f>
        <v>0</v>
      </c>
      <c r="J855">
        <v>53</v>
      </c>
      <c r="K855">
        <v>23.75</v>
      </c>
      <c r="L855">
        <v>2</v>
      </c>
      <c r="M855">
        <v>11729.6795</v>
      </c>
    </row>
    <row r="856" spans="1:13" x14ac:dyDescent="0.35">
      <c r="A856" t="s">
        <v>14</v>
      </c>
      <c r="B856" t="s">
        <v>7</v>
      </c>
      <c r="C856" t="s">
        <v>8</v>
      </c>
      <c r="H856">
        <f>IF(B856="female", 0, 1)</f>
        <v>0</v>
      </c>
      <c r="I856">
        <f>IF(C856= "yes", 1, 0)</f>
        <v>1</v>
      </c>
      <c r="J856">
        <v>49</v>
      </c>
      <c r="K856">
        <v>23.844999999999999</v>
      </c>
      <c r="L856">
        <v>3</v>
      </c>
      <c r="M856">
        <v>24106.912550000001</v>
      </c>
    </row>
    <row r="857" spans="1:13" x14ac:dyDescent="0.35">
      <c r="A857" t="s">
        <v>9</v>
      </c>
      <c r="B857" t="s">
        <v>7</v>
      </c>
      <c r="C857" t="s">
        <v>11</v>
      </c>
      <c r="H857">
        <f>IF(B857="female", 0, 1)</f>
        <v>0</v>
      </c>
      <c r="I857">
        <f>IF(C857= "yes", 1, 0)</f>
        <v>0</v>
      </c>
      <c r="J857">
        <v>20</v>
      </c>
      <c r="K857">
        <v>29.6</v>
      </c>
      <c r="L857">
        <v>0</v>
      </c>
      <c r="M857">
        <v>1875.3440000000001</v>
      </c>
    </row>
    <row r="858" spans="1:13" x14ac:dyDescent="0.35">
      <c r="A858" t="s">
        <v>12</v>
      </c>
      <c r="B858" t="s">
        <v>7</v>
      </c>
      <c r="C858" t="s">
        <v>8</v>
      </c>
      <c r="H858">
        <f>IF(B858="female", 0, 1)</f>
        <v>0</v>
      </c>
      <c r="I858">
        <f>IF(C858= "yes", 1, 0)</f>
        <v>1</v>
      </c>
      <c r="J858">
        <v>48</v>
      </c>
      <c r="K858">
        <v>33.11</v>
      </c>
      <c r="L858">
        <v>0</v>
      </c>
      <c r="M858">
        <v>40974.164900000003</v>
      </c>
    </row>
    <row r="859" spans="1:13" x14ac:dyDescent="0.35">
      <c r="A859" t="s">
        <v>13</v>
      </c>
      <c r="B859" t="s">
        <v>10</v>
      </c>
      <c r="C859" t="s">
        <v>8</v>
      </c>
      <c r="H859">
        <f>IF(B859="female", 0, 1)</f>
        <v>1</v>
      </c>
      <c r="I859">
        <f>IF(C859= "yes", 1, 0)</f>
        <v>1</v>
      </c>
      <c r="J859">
        <v>25</v>
      </c>
      <c r="K859">
        <v>24.13</v>
      </c>
      <c r="L859">
        <v>0</v>
      </c>
      <c r="M859">
        <v>15817.985699999999</v>
      </c>
    </row>
    <row r="860" spans="1:13" x14ac:dyDescent="0.35">
      <c r="A860" t="s">
        <v>12</v>
      </c>
      <c r="B860" t="s">
        <v>7</v>
      </c>
      <c r="C860" t="s">
        <v>11</v>
      </c>
      <c r="H860">
        <f>IF(B860="female", 0, 1)</f>
        <v>0</v>
      </c>
      <c r="I860">
        <f>IF(C860= "yes", 1, 0)</f>
        <v>0</v>
      </c>
      <c r="J860">
        <v>25</v>
      </c>
      <c r="K860">
        <v>32.229999999999997</v>
      </c>
      <c r="L860">
        <v>1</v>
      </c>
      <c r="M860">
        <v>18218.161390000001</v>
      </c>
    </row>
    <row r="861" spans="1:13" x14ac:dyDescent="0.35">
      <c r="A861" t="s">
        <v>9</v>
      </c>
      <c r="B861" t="s">
        <v>10</v>
      </c>
      <c r="C861" t="s">
        <v>11</v>
      </c>
      <c r="H861">
        <f>IF(B861="female", 0, 1)</f>
        <v>1</v>
      </c>
      <c r="I861">
        <f>IF(C861= "yes", 1, 0)</f>
        <v>0</v>
      </c>
      <c r="J861">
        <v>57</v>
      </c>
      <c r="K861">
        <v>28.1</v>
      </c>
      <c r="L861">
        <v>0</v>
      </c>
      <c r="M861">
        <v>10965.446</v>
      </c>
    </row>
    <row r="862" spans="1:13" x14ac:dyDescent="0.35">
      <c r="A862" t="s">
        <v>9</v>
      </c>
      <c r="B862" t="s">
        <v>7</v>
      </c>
      <c r="C862" t="s">
        <v>8</v>
      </c>
      <c r="H862">
        <f>IF(B862="female", 0, 1)</f>
        <v>0</v>
      </c>
      <c r="I862">
        <f>IF(C862= "yes", 1, 0)</f>
        <v>1</v>
      </c>
      <c r="J862">
        <v>37</v>
      </c>
      <c r="K862">
        <v>47.6</v>
      </c>
      <c r="L862">
        <v>2</v>
      </c>
      <c r="M862">
        <v>46113.510999999999</v>
      </c>
    </row>
    <row r="863" spans="1:13" x14ac:dyDescent="0.35">
      <c r="A863" t="s">
        <v>9</v>
      </c>
      <c r="B863" t="s">
        <v>7</v>
      </c>
      <c r="C863" t="s">
        <v>11</v>
      </c>
      <c r="H863">
        <f>IF(B863="female", 0, 1)</f>
        <v>0</v>
      </c>
      <c r="I863">
        <f>IF(C863= "yes", 1, 0)</f>
        <v>0</v>
      </c>
      <c r="J863">
        <v>38</v>
      </c>
      <c r="K863">
        <v>28</v>
      </c>
      <c r="L863">
        <v>3</v>
      </c>
      <c r="M863">
        <v>7151.0919999999996</v>
      </c>
    </row>
    <row r="864" spans="1:13" x14ac:dyDescent="0.35">
      <c r="A864" t="s">
        <v>13</v>
      </c>
      <c r="B864" t="s">
        <v>7</v>
      </c>
      <c r="C864" t="s">
        <v>11</v>
      </c>
      <c r="H864">
        <f>IF(B864="female", 0, 1)</f>
        <v>0</v>
      </c>
      <c r="I864">
        <f>IF(C864= "yes", 1, 0)</f>
        <v>0</v>
      </c>
      <c r="J864">
        <v>55</v>
      </c>
      <c r="K864">
        <v>33.534999999999997</v>
      </c>
      <c r="L864">
        <v>2</v>
      </c>
      <c r="M864">
        <v>12269.68865</v>
      </c>
    </row>
    <row r="865" spans="1:13" x14ac:dyDescent="0.35">
      <c r="A865" t="s">
        <v>14</v>
      </c>
      <c r="B865" t="s">
        <v>7</v>
      </c>
      <c r="C865" t="s">
        <v>11</v>
      </c>
      <c r="H865">
        <f>IF(B865="female", 0, 1)</f>
        <v>0</v>
      </c>
      <c r="I865">
        <f>IF(C865= "yes", 1, 0)</f>
        <v>0</v>
      </c>
      <c r="J865">
        <v>36</v>
      </c>
      <c r="K865">
        <v>19.855</v>
      </c>
      <c r="L865">
        <v>0</v>
      </c>
      <c r="M865">
        <v>5458.0464499999998</v>
      </c>
    </row>
    <row r="866" spans="1:13" x14ac:dyDescent="0.35">
      <c r="A866" t="s">
        <v>9</v>
      </c>
      <c r="B866" t="s">
        <v>10</v>
      </c>
      <c r="C866" t="s">
        <v>11</v>
      </c>
      <c r="H866">
        <f>IF(B866="female", 0, 1)</f>
        <v>1</v>
      </c>
      <c r="I866">
        <f>IF(C866= "yes", 1, 0)</f>
        <v>0</v>
      </c>
      <c r="J866">
        <v>51</v>
      </c>
      <c r="K866">
        <v>25.4</v>
      </c>
      <c r="L866">
        <v>0</v>
      </c>
      <c r="M866">
        <v>8782.4689999999991</v>
      </c>
    </row>
    <row r="867" spans="1:13" x14ac:dyDescent="0.35">
      <c r="A867" t="s">
        <v>9</v>
      </c>
      <c r="B867" t="s">
        <v>10</v>
      </c>
      <c r="C867" t="s">
        <v>11</v>
      </c>
      <c r="H867">
        <f>IF(B867="female", 0, 1)</f>
        <v>1</v>
      </c>
      <c r="I867">
        <f>IF(C867= "yes", 1, 0)</f>
        <v>0</v>
      </c>
      <c r="J867">
        <v>40</v>
      </c>
      <c r="K867">
        <v>29.9</v>
      </c>
      <c r="L867">
        <v>2</v>
      </c>
      <c r="M867">
        <v>6600.3609999999999</v>
      </c>
    </row>
    <row r="868" spans="1:13" x14ac:dyDescent="0.35">
      <c r="A868" t="s">
        <v>12</v>
      </c>
      <c r="B868" t="s">
        <v>10</v>
      </c>
      <c r="C868" t="s">
        <v>11</v>
      </c>
      <c r="H868">
        <f>IF(B868="female", 0, 1)</f>
        <v>1</v>
      </c>
      <c r="I868">
        <f>IF(C868= "yes", 1, 0)</f>
        <v>0</v>
      </c>
      <c r="J868">
        <v>18</v>
      </c>
      <c r="K868">
        <v>37.29</v>
      </c>
      <c r="L868">
        <v>0</v>
      </c>
      <c r="M868">
        <v>1141.4450999999999</v>
      </c>
    </row>
    <row r="869" spans="1:13" x14ac:dyDescent="0.35">
      <c r="A869" t="s">
        <v>9</v>
      </c>
      <c r="B869" t="s">
        <v>10</v>
      </c>
      <c r="C869" t="s">
        <v>11</v>
      </c>
      <c r="H869">
        <f>IF(B869="female", 0, 1)</f>
        <v>1</v>
      </c>
      <c r="I869">
        <f>IF(C869= "yes", 1, 0)</f>
        <v>0</v>
      </c>
      <c r="J869">
        <v>57</v>
      </c>
      <c r="K869">
        <v>43.7</v>
      </c>
      <c r="L869">
        <v>1</v>
      </c>
      <c r="M869">
        <v>11576.13</v>
      </c>
    </row>
    <row r="870" spans="1:13" x14ac:dyDescent="0.35">
      <c r="A870" t="s">
        <v>14</v>
      </c>
      <c r="B870" t="s">
        <v>10</v>
      </c>
      <c r="C870" t="s">
        <v>11</v>
      </c>
      <c r="H870">
        <f>IF(B870="female", 0, 1)</f>
        <v>1</v>
      </c>
      <c r="I870">
        <f>IF(C870= "yes", 1, 0)</f>
        <v>0</v>
      </c>
      <c r="J870">
        <v>61</v>
      </c>
      <c r="K870">
        <v>23.655000000000001</v>
      </c>
      <c r="L870">
        <v>0</v>
      </c>
      <c r="M870">
        <v>13129.603450000001</v>
      </c>
    </row>
    <row r="871" spans="1:13" x14ac:dyDescent="0.35">
      <c r="A871" t="s">
        <v>9</v>
      </c>
      <c r="B871" t="s">
        <v>7</v>
      </c>
      <c r="C871" t="s">
        <v>11</v>
      </c>
      <c r="H871">
        <f>IF(B871="female", 0, 1)</f>
        <v>0</v>
      </c>
      <c r="I871">
        <f>IF(C871= "yes", 1, 0)</f>
        <v>0</v>
      </c>
      <c r="J871">
        <v>25</v>
      </c>
      <c r="K871">
        <v>24.3</v>
      </c>
      <c r="L871">
        <v>3</v>
      </c>
      <c r="M871">
        <v>4391.652</v>
      </c>
    </row>
    <row r="872" spans="1:13" x14ac:dyDescent="0.35">
      <c r="A872" t="s">
        <v>9</v>
      </c>
      <c r="B872" t="s">
        <v>10</v>
      </c>
      <c r="C872" t="s">
        <v>11</v>
      </c>
      <c r="H872">
        <f>IF(B872="female", 0, 1)</f>
        <v>1</v>
      </c>
      <c r="I872">
        <f>IF(C872= "yes", 1, 0)</f>
        <v>0</v>
      </c>
      <c r="J872">
        <v>50</v>
      </c>
      <c r="K872">
        <v>36.200000000000003</v>
      </c>
      <c r="L872">
        <v>0</v>
      </c>
      <c r="M872">
        <v>8457.8179999999993</v>
      </c>
    </row>
    <row r="873" spans="1:13" x14ac:dyDescent="0.35">
      <c r="A873" t="s">
        <v>12</v>
      </c>
      <c r="B873" t="s">
        <v>7</v>
      </c>
      <c r="C873" t="s">
        <v>11</v>
      </c>
      <c r="H873">
        <f>IF(B873="female", 0, 1)</f>
        <v>0</v>
      </c>
      <c r="I873">
        <f>IF(C873= "yes", 1, 0)</f>
        <v>0</v>
      </c>
      <c r="J873">
        <v>26</v>
      </c>
      <c r="K873">
        <v>29.48</v>
      </c>
      <c r="L873">
        <v>1</v>
      </c>
      <c r="M873">
        <v>3392.3652000000002</v>
      </c>
    </row>
    <row r="874" spans="1:13" x14ac:dyDescent="0.35">
      <c r="A874" t="s">
        <v>12</v>
      </c>
      <c r="B874" t="s">
        <v>10</v>
      </c>
      <c r="C874" t="s">
        <v>11</v>
      </c>
      <c r="H874">
        <f>IF(B874="female", 0, 1)</f>
        <v>1</v>
      </c>
      <c r="I874">
        <f>IF(C874= "yes", 1, 0)</f>
        <v>0</v>
      </c>
      <c r="J874">
        <v>42</v>
      </c>
      <c r="K874">
        <v>24.86</v>
      </c>
      <c r="L874">
        <v>0</v>
      </c>
      <c r="M874">
        <v>5966.8873999999996</v>
      </c>
    </row>
    <row r="875" spans="1:13" x14ac:dyDescent="0.35">
      <c r="A875" t="s">
        <v>9</v>
      </c>
      <c r="B875" t="s">
        <v>10</v>
      </c>
      <c r="C875" t="s">
        <v>11</v>
      </c>
      <c r="H875">
        <f>IF(B875="female", 0, 1)</f>
        <v>1</v>
      </c>
      <c r="I875">
        <f>IF(C875= "yes", 1, 0)</f>
        <v>0</v>
      </c>
      <c r="J875">
        <v>43</v>
      </c>
      <c r="K875">
        <v>30.1</v>
      </c>
      <c r="L875">
        <v>1</v>
      </c>
      <c r="M875">
        <v>6849.0259999999998</v>
      </c>
    </row>
    <row r="876" spans="1:13" x14ac:dyDescent="0.35">
      <c r="A876" t="s">
        <v>14</v>
      </c>
      <c r="B876" t="s">
        <v>10</v>
      </c>
      <c r="C876" t="s">
        <v>11</v>
      </c>
      <c r="H876">
        <f>IF(B876="female", 0, 1)</f>
        <v>1</v>
      </c>
      <c r="I876">
        <f>IF(C876= "yes", 1, 0)</f>
        <v>0</v>
      </c>
      <c r="J876">
        <v>44</v>
      </c>
      <c r="K876">
        <v>21.85</v>
      </c>
      <c r="L876">
        <v>3</v>
      </c>
      <c r="M876">
        <v>8891.1394999999993</v>
      </c>
    </row>
    <row r="877" spans="1:13" x14ac:dyDescent="0.35">
      <c r="A877" t="s">
        <v>13</v>
      </c>
      <c r="B877" t="s">
        <v>7</v>
      </c>
      <c r="C877" t="s">
        <v>11</v>
      </c>
      <c r="H877">
        <f>IF(B877="female", 0, 1)</f>
        <v>0</v>
      </c>
      <c r="I877">
        <f>IF(C877= "yes", 1, 0)</f>
        <v>0</v>
      </c>
      <c r="J877">
        <v>23</v>
      </c>
      <c r="K877">
        <v>28.12</v>
      </c>
      <c r="L877">
        <v>0</v>
      </c>
      <c r="M877">
        <v>2690.1138000000001</v>
      </c>
    </row>
    <row r="878" spans="1:13" x14ac:dyDescent="0.35">
      <c r="A878" t="s">
        <v>9</v>
      </c>
      <c r="B878" t="s">
        <v>7</v>
      </c>
      <c r="C878" t="s">
        <v>11</v>
      </c>
      <c r="H878">
        <f>IF(B878="female", 0, 1)</f>
        <v>0</v>
      </c>
      <c r="I878">
        <f>IF(C878= "yes", 1, 0)</f>
        <v>0</v>
      </c>
      <c r="J878">
        <v>49</v>
      </c>
      <c r="K878">
        <v>27.1</v>
      </c>
      <c r="L878">
        <v>1</v>
      </c>
      <c r="M878">
        <v>26140.3603</v>
      </c>
    </row>
    <row r="879" spans="1:13" x14ac:dyDescent="0.35">
      <c r="A879" t="s">
        <v>12</v>
      </c>
      <c r="B879" t="s">
        <v>10</v>
      </c>
      <c r="C879" t="s">
        <v>11</v>
      </c>
      <c r="H879">
        <f>IF(B879="female", 0, 1)</f>
        <v>1</v>
      </c>
      <c r="I879">
        <f>IF(C879= "yes", 1, 0)</f>
        <v>0</v>
      </c>
      <c r="J879">
        <v>33</v>
      </c>
      <c r="K879">
        <v>33.44</v>
      </c>
      <c r="L879">
        <v>5</v>
      </c>
      <c r="M879">
        <v>6653.7885999999999</v>
      </c>
    </row>
    <row r="880" spans="1:13" x14ac:dyDescent="0.35">
      <c r="A880" t="s">
        <v>9</v>
      </c>
      <c r="B880" t="s">
        <v>10</v>
      </c>
      <c r="C880" t="s">
        <v>11</v>
      </c>
      <c r="H880">
        <f>IF(B880="female", 0, 1)</f>
        <v>1</v>
      </c>
      <c r="I880">
        <f>IF(C880= "yes", 1, 0)</f>
        <v>0</v>
      </c>
      <c r="J880">
        <v>41</v>
      </c>
      <c r="K880">
        <v>28.8</v>
      </c>
      <c r="L880">
        <v>1</v>
      </c>
      <c r="M880">
        <v>6282.2349999999997</v>
      </c>
    </row>
    <row r="881" spans="1:13" x14ac:dyDescent="0.35">
      <c r="A881" t="s">
        <v>9</v>
      </c>
      <c r="B881" t="s">
        <v>7</v>
      </c>
      <c r="C881" t="s">
        <v>11</v>
      </c>
      <c r="H881">
        <f>IF(B881="female", 0, 1)</f>
        <v>0</v>
      </c>
      <c r="I881">
        <f>IF(C881= "yes", 1, 0)</f>
        <v>0</v>
      </c>
      <c r="J881">
        <v>37</v>
      </c>
      <c r="K881">
        <v>29.5</v>
      </c>
      <c r="L881">
        <v>2</v>
      </c>
      <c r="M881">
        <v>6311.9520000000002</v>
      </c>
    </row>
    <row r="882" spans="1:13" x14ac:dyDescent="0.35">
      <c r="A882" t="s">
        <v>9</v>
      </c>
      <c r="B882" t="s">
        <v>10</v>
      </c>
      <c r="C882" t="s">
        <v>11</v>
      </c>
      <c r="H882">
        <f>IF(B882="female", 0, 1)</f>
        <v>1</v>
      </c>
      <c r="I882">
        <f>IF(C882= "yes", 1, 0)</f>
        <v>0</v>
      </c>
      <c r="J882">
        <v>22</v>
      </c>
      <c r="K882">
        <v>34.799999999999997</v>
      </c>
      <c r="L882">
        <v>3</v>
      </c>
      <c r="M882">
        <v>3443.0639999999999</v>
      </c>
    </row>
    <row r="883" spans="1:13" x14ac:dyDescent="0.35">
      <c r="A883" t="s">
        <v>13</v>
      </c>
      <c r="B883" t="s">
        <v>10</v>
      </c>
      <c r="C883" t="s">
        <v>11</v>
      </c>
      <c r="H883">
        <f>IF(B883="female", 0, 1)</f>
        <v>1</v>
      </c>
      <c r="I883">
        <f>IF(C883= "yes", 1, 0)</f>
        <v>0</v>
      </c>
      <c r="J883">
        <v>23</v>
      </c>
      <c r="K883">
        <v>27.36</v>
      </c>
      <c r="L883">
        <v>1</v>
      </c>
      <c r="M883">
        <v>2789.0574000000001</v>
      </c>
    </row>
    <row r="884" spans="1:13" x14ac:dyDescent="0.35">
      <c r="A884" t="s">
        <v>14</v>
      </c>
      <c r="B884" t="s">
        <v>7</v>
      </c>
      <c r="C884" t="s">
        <v>11</v>
      </c>
      <c r="H884">
        <f>IF(B884="female", 0, 1)</f>
        <v>0</v>
      </c>
      <c r="I884">
        <f>IF(C884= "yes", 1, 0)</f>
        <v>0</v>
      </c>
      <c r="J884">
        <v>21</v>
      </c>
      <c r="K884">
        <v>22.135000000000002</v>
      </c>
      <c r="L884">
        <v>0</v>
      </c>
      <c r="M884">
        <v>2585.8506499999999</v>
      </c>
    </row>
    <row r="885" spans="1:13" x14ac:dyDescent="0.35">
      <c r="A885" t="s">
        <v>14</v>
      </c>
      <c r="B885" t="s">
        <v>7</v>
      </c>
      <c r="C885" t="s">
        <v>8</v>
      </c>
      <c r="H885">
        <f>IF(B885="female", 0, 1)</f>
        <v>0</v>
      </c>
      <c r="I885">
        <f>IF(C885= "yes", 1, 0)</f>
        <v>1</v>
      </c>
      <c r="J885">
        <v>51</v>
      </c>
      <c r="K885">
        <v>37.049999999999997</v>
      </c>
      <c r="L885">
        <v>3</v>
      </c>
      <c r="M885">
        <v>46255.112500000003</v>
      </c>
    </row>
    <row r="886" spans="1:13" x14ac:dyDescent="0.35">
      <c r="A886" t="s">
        <v>13</v>
      </c>
      <c r="B886" t="s">
        <v>10</v>
      </c>
      <c r="C886" t="s">
        <v>11</v>
      </c>
      <c r="H886">
        <f>IF(B886="female", 0, 1)</f>
        <v>1</v>
      </c>
      <c r="I886">
        <f>IF(C886= "yes", 1, 0)</f>
        <v>0</v>
      </c>
      <c r="J886">
        <v>25</v>
      </c>
      <c r="K886">
        <v>26.695</v>
      </c>
      <c r="L886">
        <v>4</v>
      </c>
      <c r="M886">
        <v>4877.9810500000003</v>
      </c>
    </row>
    <row r="887" spans="1:13" x14ac:dyDescent="0.35">
      <c r="A887" t="s">
        <v>12</v>
      </c>
      <c r="B887" t="s">
        <v>10</v>
      </c>
      <c r="C887" t="s">
        <v>8</v>
      </c>
      <c r="H887">
        <f>IF(B887="female", 0, 1)</f>
        <v>1</v>
      </c>
      <c r="I887">
        <f>IF(C887= "yes", 1, 0)</f>
        <v>1</v>
      </c>
      <c r="J887">
        <v>32</v>
      </c>
      <c r="K887">
        <v>28.93</v>
      </c>
      <c r="L887">
        <v>1</v>
      </c>
      <c r="M887">
        <v>19719.6947</v>
      </c>
    </row>
    <row r="888" spans="1:13" x14ac:dyDescent="0.35">
      <c r="A888" t="s">
        <v>14</v>
      </c>
      <c r="B888" t="s">
        <v>10</v>
      </c>
      <c r="C888" t="s">
        <v>8</v>
      </c>
      <c r="H888">
        <f>IF(B888="female", 0, 1)</f>
        <v>1</v>
      </c>
      <c r="I888">
        <f>IF(C888= "yes", 1, 0)</f>
        <v>1</v>
      </c>
      <c r="J888">
        <v>57</v>
      </c>
      <c r="K888">
        <v>28.975000000000001</v>
      </c>
      <c r="L888">
        <v>0</v>
      </c>
      <c r="M888">
        <v>27218.437249999999</v>
      </c>
    </row>
    <row r="889" spans="1:13" x14ac:dyDescent="0.35">
      <c r="A889" t="s">
        <v>13</v>
      </c>
      <c r="B889" t="s">
        <v>7</v>
      </c>
      <c r="C889" t="s">
        <v>11</v>
      </c>
      <c r="H889">
        <f>IF(B889="female", 0, 1)</f>
        <v>0</v>
      </c>
      <c r="I889">
        <f>IF(C889= "yes", 1, 0)</f>
        <v>0</v>
      </c>
      <c r="J889">
        <v>36</v>
      </c>
      <c r="K889">
        <v>30.02</v>
      </c>
      <c r="L889">
        <v>0</v>
      </c>
      <c r="M889">
        <v>5272.1758</v>
      </c>
    </row>
    <row r="890" spans="1:13" x14ac:dyDescent="0.35">
      <c r="A890" t="s">
        <v>9</v>
      </c>
      <c r="B890" t="s">
        <v>10</v>
      </c>
      <c r="C890" t="s">
        <v>11</v>
      </c>
      <c r="H890">
        <f>IF(B890="female", 0, 1)</f>
        <v>1</v>
      </c>
      <c r="I890">
        <f>IF(C890= "yes", 1, 0)</f>
        <v>0</v>
      </c>
      <c r="J890">
        <v>22</v>
      </c>
      <c r="K890">
        <v>39.5</v>
      </c>
      <c r="L890">
        <v>0</v>
      </c>
      <c r="M890">
        <v>1682.597</v>
      </c>
    </row>
    <row r="891" spans="1:13" x14ac:dyDescent="0.35">
      <c r="A891" t="s">
        <v>13</v>
      </c>
      <c r="B891" t="s">
        <v>10</v>
      </c>
      <c r="C891" t="s">
        <v>11</v>
      </c>
      <c r="H891">
        <f>IF(B891="female", 0, 1)</f>
        <v>1</v>
      </c>
      <c r="I891">
        <f>IF(C891= "yes", 1, 0)</f>
        <v>0</v>
      </c>
      <c r="J891">
        <v>57</v>
      </c>
      <c r="K891">
        <v>33.630000000000003</v>
      </c>
      <c r="L891">
        <v>1</v>
      </c>
      <c r="M891">
        <v>11945.1327</v>
      </c>
    </row>
    <row r="892" spans="1:13" x14ac:dyDescent="0.35">
      <c r="A892" t="s">
        <v>13</v>
      </c>
      <c r="B892" t="s">
        <v>7</v>
      </c>
      <c r="C892" t="s">
        <v>8</v>
      </c>
      <c r="H892">
        <f>IF(B892="female", 0, 1)</f>
        <v>0</v>
      </c>
      <c r="I892">
        <f>IF(C892= "yes", 1, 0)</f>
        <v>1</v>
      </c>
      <c r="J892">
        <v>64</v>
      </c>
      <c r="K892">
        <v>26.885000000000002</v>
      </c>
      <c r="L892">
        <v>0</v>
      </c>
      <c r="M892">
        <v>29330.98315</v>
      </c>
    </row>
    <row r="893" spans="1:13" x14ac:dyDescent="0.35">
      <c r="A893" t="s">
        <v>12</v>
      </c>
      <c r="B893" t="s">
        <v>7</v>
      </c>
      <c r="C893" t="s">
        <v>11</v>
      </c>
      <c r="H893">
        <f>IF(B893="female", 0, 1)</f>
        <v>0</v>
      </c>
      <c r="I893">
        <f>IF(C893= "yes", 1, 0)</f>
        <v>0</v>
      </c>
      <c r="J893">
        <v>36</v>
      </c>
      <c r="K893">
        <v>29.04</v>
      </c>
      <c r="L893">
        <v>4</v>
      </c>
      <c r="M893">
        <v>7243.8136000000004</v>
      </c>
    </row>
    <row r="894" spans="1:13" x14ac:dyDescent="0.35">
      <c r="A894" t="s">
        <v>14</v>
      </c>
      <c r="B894" t="s">
        <v>10</v>
      </c>
      <c r="C894" t="s">
        <v>11</v>
      </c>
      <c r="H894">
        <f>IF(B894="female", 0, 1)</f>
        <v>1</v>
      </c>
      <c r="I894">
        <f>IF(C894= "yes", 1, 0)</f>
        <v>0</v>
      </c>
      <c r="J894">
        <v>54</v>
      </c>
      <c r="K894">
        <v>24.035</v>
      </c>
      <c r="L894">
        <v>0</v>
      </c>
      <c r="M894">
        <v>10422.916649999999</v>
      </c>
    </row>
    <row r="895" spans="1:13" x14ac:dyDescent="0.35">
      <c r="A895" t="s">
        <v>12</v>
      </c>
      <c r="B895" t="s">
        <v>10</v>
      </c>
      <c r="C895" t="s">
        <v>8</v>
      </c>
      <c r="H895">
        <f>IF(B895="female", 0, 1)</f>
        <v>1</v>
      </c>
      <c r="I895">
        <f>IF(C895= "yes", 1, 0)</f>
        <v>1</v>
      </c>
      <c r="J895">
        <v>47</v>
      </c>
      <c r="K895">
        <v>38.94</v>
      </c>
      <c r="L895">
        <v>2</v>
      </c>
      <c r="M895">
        <v>44202.653599999998</v>
      </c>
    </row>
    <row r="896" spans="1:13" x14ac:dyDescent="0.35">
      <c r="A896" t="s">
        <v>14</v>
      </c>
      <c r="B896" t="s">
        <v>10</v>
      </c>
      <c r="C896" t="s">
        <v>11</v>
      </c>
      <c r="H896">
        <f>IF(B896="female", 0, 1)</f>
        <v>1</v>
      </c>
      <c r="I896">
        <f>IF(C896= "yes", 1, 0)</f>
        <v>0</v>
      </c>
      <c r="J896">
        <v>62</v>
      </c>
      <c r="K896">
        <v>32.11</v>
      </c>
      <c r="L896">
        <v>0</v>
      </c>
      <c r="M896">
        <v>13555.0049</v>
      </c>
    </row>
    <row r="897" spans="1:13" x14ac:dyDescent="0.35">
      <c r="A897" t="s">
        <v>9</v>
      </c>
      <c r="B897" t="s">
        <v>7</v>
      </c>
      <c r="C897" t="s">
        <v>11</v>
      </c>
      <c r="H897">
        <f>IF(B897="female", 0, 1)</f>
        <v>0</v>
      </c>
      <c r="I897">
        <f>IF(C897= "yes", 1, 0)</f>
        <v>0</v>
      </c>
      <c r="J897">
        <v>61</v>
      </c>
      <c r="K897">
        <v>44</v>
      </c>
      <c r="L897">
        <v>0</v>
      </c>
      <c r="M897">
        <v>13063.883</v>
      </c>
    </row>
    <row r="898" spans="1:13" x14ac:dyDescent="0.35">
      <c r="A898" t="s">
        <v>14</v>
      </c>
      <c r="B898" t="s">
        <v>7</v>
      </c>
      <c r="C898" t="s">
        <v>8</v>
      </c>
      <c r="H898">
        <f>IF(B898="female", 0, 1)</f>
        <v>0</v>
      </c>
      <c r="I898">
        <f>IF(C898= "yes", 1, 0)</f>
        <v>1</v>
      </c>
      <c r="J898">
        <v>43</v>
      </c>
      <c r="K898">
        <v>20.045000000000002</v>
      </c>
      <c r="L898">
        <v>2</v>
      </c>
      <c r="M898">
        <v>19798.054550000001</v>
      </c>
    </row>
    <row r="899" spans="1:13" x14ac:dyDescent="0.35">
      <c r="A899" t="s">
        <v>13</v>
      </c>
      <c r="B899" t="s">
        <v>10</v>
      </c>
      <c r="C899" t="s">
        <v>11</v>
      </c>
      <c r="H899">
        <f>IF(B899="female", 0, 1)</f>
        <v>1</v>
      </c>
      <c r="I899">
        <f>IF(C899= "yes", 1, 0)</f>
        <v>0</v>
      </c>
      <c r="J899">
        <v>19</v>
      </c>
      <c r="K899">
        <v>25.555</v>
      </c>
      <c r="L899">
        <v>1</v>
      </c>
      <c r="M899">
        <v>2221.5644499999999</v>
      </c>
    </row>
    <row r="900" spans="1:13" x14ac:dyDescent="0.35">
      <c r="A900" t="s">
        <v>12</v>
      </c>
      <c r="B900" t="s">
        <v>7</v>
      </c>
      <c r="C900" t="s">
        <v>11</v>
      </c>
      <c r="H900">
        <f>IF(B900="female", 0, 1)</f>
        <v>0</v>
      </c>
      <c r="I900">
        <f>IF(C900= "yes", 1, 0)</f>
        <v>0</v>
      </c>
      <c r="J900">
        <v>18</v>
      </c>
      <c r="K900">
        <v>40.26</v>
      </c>
      <c r="L900">
        <v>0</v>
      </c>
      <c r="M900">
        <v>1634.5734</v>
      </c>
    </row>
    <row r="901" spans="1:13" x14ac:dyDescent="0.35">
      <c r="A901" t="s">
        <v>13</v>
      </c>
      <c r="B901" t="s">
        <v>7</v>
      </c>
      <c r="C901" t="s">
        <v>11</v>
      </c>
      <c r="H901">
        <f>IF(B901="female", 0, 1)</f>
        <v>0</v>
      </c>
      <c r="I901">
        <f>IF(C901= "yes", 1, 0)</f>
        <v>0</v>
      </c>
      <c r="J901">
        <v>19</v>
      </c>
      <c r="K901">
        <v>22.515000000000001</v>
      </c>
      <c r="L901">
        <v>0</v>
      </c>
      <c r="M901">
        <v>2117.3388500000001</v>
      </c>
    </row>
    <row r="902" spans="1:13" x14ac:dyDescent="0.35">
      <c r="A902" t="s">
        <v>14</v>
      </c>
      <c r="B902" t="s">
        <v>10</v>
      </c>
      <c r="C902" t="s">
        <v>11</v>
      </c>
      <c r="H902">
        <f>IF(B902="female", 0, 1)</f>
        <v>1</v>
      </c>
      <c r="I902">
        <f>IF(C902= "yes", 1, 0)</f>
        <v>0</v>
      </c>
      <c r="J902">
        <v>49</v>
      </c>
      <c r="K902">
        <v>22.515000000000001</v>
      </c>
      <c r="L902">
        <v>0</v>
      </c>
      <c r="M902">
        <v>8688.8588500000005</v>
      </c>
    </row>
    <row r="903" spans="1:13" x14ac:dyDescent="0.35">
      <c r="A903" t="s">
        <v>12</v>
      </c>
      <c r="B903" t="s">
        <v>10</v>
      </c>
      <c r="C903" t="s">
        <v>8</v>
      </c>
      <c r="H903">
        <f>IF(B903="female", 0, 1)</f>
        <v>1</v>
      </c>
      <c r="I903">
        <f>IF(C903= "yes", 1, 0)</f>
        <v>1</v>
      </c>
      <c r="J903">
        <v>60</v>
      </c>
      <c r="K903">
        <v>40.92</v>
      </c>
      <c r="L903">
        <v>0</v>
      </c>
      <c r="M903">
        <v>48673.558799999999</v>
      </c>
    </row>
    <row r="904" spans="1:13" x14ac:dyDescent="0.35">
      <c r="A904" t="s">
        <v>14</v>
      </c>
      <c r="B904" t="s">
        <v>10</v>
      </c>
      <c r="C904" t="s">
        <v>11</v>
      </c>
      <c r="H904">
        <f>IF(B904="female", 0, 1)</f>
        <v>1</v>
      </c>
      <c r="I904">
        <f>IF(C904= "yes", 1, 0)</f>
        <v>0</v>
      </c>
      <c r="J904">
        <v>26</v>
      </c>
      <c r="K904">
        <v>27.265000000000001</v>
      </c>
      <c r="L904">
        <v>3</v>
      </c>
      <c r="M904">
        <v>4661.2863500000003</v>
      </c>
    </row>
    <row r="905" spans="1:13" x14ac:dyDescent="0.35">
      <c r="A905" t="s">
        <v>12</v>
      </c>
      <c r="B905" t="s">
        <v>10</v>
      </c>
      <c r="C905" t="s">
        <v>11</v>
      </c>
      <c r="H905">
        <f>IF(B905="female", 0, 1)</f>
        <v>1</v>
      </c>
      <c r="I905">
        <f>IF(C905= "yes", 1, 0)</f>
        <v>0</v>
      </c>
      <c r="J905">
        <v>49</v>
      </c>
      <c r="K905">
        <v>36.85</v>
      </c>
      <c r="L905">
        <v>0</v>
      </c>
      <c r="M905">
        <v>8125.7844999999998</v>
      </c>
    </row>
    <row r="906" spans="1:13" x14ac:dyDescent="0.35">
      <c r="A906" t="s">
        <v>9</v>
      </c>
      <c r="B906" t="s">
        <v>7</v>
      </c>
      <c r="C906" t="s">
        <v>11</v>
      </c>
      <c r="H906">
        <f>IF(B906="female", 0, 1)</f>
        <v>0</v>
      </c>
      <c r="I906">
        <f>IF(C906= "yes", 1, 0)</f>
        <v>0</v>
      </c>
      <c r="J906">
        <v>60</v>
      </c>
      <c r="K906">
        <v>35.1</v>
      </c>
      <c r="L906">
        <v>0</v>
      </c>
      <c r="M906">
        <v>12644.589</v>
      </c>
    </row>
    <row r="907" spans="1:13" x14ac:dyDescent="0.35">
      <c r="A907" t="s">
        <v>14</v>
      </c>
      <c r="B907" t="s">
        <v>7</v>
      </c>
      <c r="C907" t="s">
        <v>11</v>
      </c>
      <c r="H907">
        <f>IF(B907="female", 0, 1)</f>
        <v>0</v>
      </c>
      <c r="I907">
        <f>IF(C907= "yes", 1, 0)</f>
        <v>0</v>
      </c>
      <c r="J907">
        <v>26</v>
      </c>
      <c r="K907">
        <v>29.355</v>
      </c>
      <c r="L907">
        <v>2</v>
      </c>
      <c r="M907">
        <v>4564.1914500000003</v>
      </c>
    </row>
    <row r="908" spans="1:13" x14ac:dyDescent="0.35">
      <c r="A908" t="s">
        <v>14</v>
      </c>
      <c r="B908" t="s">
        <v>10</v>
      </c>
      <c r="C908" t="s">
        <v>11</v>
      </c>
      <c r="H908">
        <f>IF(B908="female", 0, 1)</f>
        <v>1</v>
      </c>
      <c r="I908">
        <f>IF(C908= "yes", 1, 0)</f>
        <v>0</v>
      </c>
      <c r="J908">
        <v>27</v>
      </c>
      <c r="K908">
        <v>32.585000000000001</v>
      </c>
      <c r="L908">
        <v>3</v>
      </c>
      <c r="M908">
        <v>4846.9201499999999</v>
      </c>
    </row>
    <row r="909" spans="1:13" x14ac:dyDescent="0.35">
      <c r="A909" t="s">
        <v>12</v>
      </c>
      <c r="B909" t="s">
        <v>7</v>
      </c>
      <c r="C909" t="s">
        <v>11</v>
      </c>
      <c r="H909">
        <f>IF(B909="female", 0, 1)</f>
        <v>0</v>
      </c>
      <c r="I909">
        <f>IF(C909= "yes", 1, 0)</f>
        <v>0</v>
      </c>
      <c r="J909">
        <v>44</v>
      </c>
      <c r="K909">
        <v>32.340000000000003</v>
      </c>
      <c r="L909">
        <v>1</v>
      </c>
      <c r="M909">
        <v>7633.7205999999996</v>
      </c>
    </row>
    <row r="910" spans="1:13" x14ac:dyDescent="0.35">
      <c r="A910" t="s">
        <v>9</v>
      </c>
      <c r="B910" t="s">
        <v>10</v>
      </c>
      <c r="C910" t="s">
        <v>11</v>
      </c>
      <c r="H910">
        <f>IF(B910="female", 0, 1)</f>
        <v>1</v>
      </c>
      <c r="I910">
        <f>IF(C910= "yes", 1, 0)</f>
        <v>0</v>
      </c>
      <c r="J910">
        <v>63</v>
      </c>
      <c r="K910">
        <v>39.799999999999997</v>
      </c>
      <c r="L910">
        <v>3</v>
      </c>
      <c r="M910">
        <v>15170.069</v>
      </c>
    </row>
    <row r="911" spans="1:13" x14ac:dyDescent="0.35">
      <c r="A911" t="s">
        <v>9</v>
      </c>
      <c r="B911" t="s">
        <v>7</v>
      </c>
      <c r="C911" t="s">
        <v>8</v>
      </c>
      <c r="H911">
        <f>IF(B911="female", 0, 1)</f>
        <v>0</v>
      </c>
      <c r="I911">
        <f>IF(C911= "yes", 1, 0)</f>
        <v>1</v>
      </c>
      <c r="J911">
        <v>32</v>
      </c>
      <c r="K911">
        <v>24.6</v>
      </c>
      <c r="L911">
        <v>0</v>
      </c>
      <c r="M911">
        <v>17496.306</v>
      </c>
    </row>
    <row r="912" spans="1:13" x14ac:dyDescent="0.35">
      <c r="A912" t="s">
        <v>13</v>
      </c>
      <c r="B912" t="s">
        <v>10</v>
      </c>
      <c r="C912" t="s">
        <v>11</v>
      </c>
      <c r="H912">
        <f>IF(B912="female", 0, 1)</f>
        <v>1</v>
      </c>
      <c r="I912">
        <f>IF(C912= "yes", 1, 0)</f>
        <v>0</v>
      </c>
      <c r="J912">
        <v>22</v>
      </c>
      <c r="K912">
        <v>28.31</v>
      </c>
      <c r="L912">
        <v>1</v>
      </c>
      <c r="M912">
        <v>2639.0428999999999</v>
      </c>
    </row>
    <row r="913" spans="1:13" x14ac:dyDescent="0.35">
      <c r="A913" t="s">
        <v>14</v>
      </c>
      <c r="B913" t="s">
        <v>10</v>
      </c>
      <c r="C913" t="s">
        <v>8</v>
      </c>
      <c r="H913">
        <f>IF(B913="female", 0, 1)</f>
        <v>1</v>
      </c>
      <c r="I913">
        <f>IF(C913= "yes", 1, 0)</f>
        <v>1</v>
      </c>
      <c r="J913">
        <v>18</v>
      </c>
      <c r="K913">
        <v>31.73</v>
      </c>
      <c r="L913">
        <v>0</v>
      </c>
      <c r="M913">
        <v>33732.686699999998</v>
      </c>
    </row>
    <row r="914" spans="1:13" x14ac:dyDescent="0.35">
      <c r="A914" t="s">
        <v>13</v>
      </c>
      <c r="B914" t="s">
        <v>7</v>
      </c>
      <c r="C914" t="s">
        <v>11</v>
      </c>
      <c r="H914">
        <f>IF(B914="female", 0, 1)</f>
        <v>0</v>
      </c>
      <c r="I914">
        <f>IF(C914= "yes", 1, 0)</f>
        <v>0</v>
      </c>
      <c r="J914">
        <v>59</v>
      </c>
      <c r="K914">
        <v>26.695</v>
      </c>
      <c r="L914">
        <v>3</v>
      </c>
      <c r="M914">
        <v>14382.709049999999</v>
      </c>
    </row>
    <row r="915" spans="1:13" x14ac:dyDescent="0.35">
      <c r="A915" t="s">
        <v>9</v>
      </c>
      <c r="B915" t="s">
        <v>7</v>
      </c>
      <c r="C915" t="s">
        <v>11</v>
      </c>
      <c r="H915">
        <f>IF(B915="female", 0, 1)</f>
        <v>0</v>
      </c>
      <c r="I915">
        <f>IF(C915= "yes", 1, 0)</f>
        <v>0</v>
      </c>
      <c r="J915">
        <v>44</v>
      </c>
      <c r="K915">
        <v>27.5</v>
      </c>
      <c r="L915">
        <v>1</v>
      </c>
      <c r="M915">
        <v>7626.9930000000004</v>
      </c>
    </row>
    <row r="916" spans="1:13" x14ac:dyDescent="0.35">
      <c r="A916" t="s">
        <v>13</v>
      </c>
      <c r="B916" t="s">
        <v>10</v>
      </c>
      <c r="C916" t="s">
        <v>11</v>
      </c>
      <c r="H916">
        <f>IF(B916="female", 0, 1)</f>
        <v>1</v>
      </c>
      <c r="I916">
        <f>IF(C916= "yes", 1, 0)</f>
        <v>0</v>
      </c>
      <c r="J916">
        <v>33</v>
      </c>
      <c r="K916">
        <v>24.605</v>
      </c>
      <c r="L916">
        <v>2</v>
      </c>
      <c r="M916">
        <v>5257.5079500000002</v>
      </c>
    </row>
    <row r="917" spans="1:13" x14ac:dyDescent="0.35">
      <c r="A917" t="s">
        <v>12</v>
      </c>
      <c r="B917" t="s">
        <v>7</v>
      </c>
      <c r="C917" t="s">
        <v>11</v>
      </c>
      <c r="H917">
        <f>IF(B917="female", 0, 1)</f>
        <v>0</v>
      </c>
      <c r="I917">
        <f>IF(C917= "yes", 1, 0)</f>
        <v>0</v>
      </c>
      <c r="J917">
        <v>24</v>
      </c>
      <c r="K917">
        <v>33.99</v>
      </c>
      <c r="L917">
        <v>0</v>
      </c>
      <c r="M917">
        <v>2473.3341</v>
      </c>
    </row>
    <row r="918" spans="1:13" x14ac:dyDescent="0.35">
      <c r="A918" t="s">
        <v>13</v>
      </c>
      <c r="B918" t="s">
        <v>7</v>
      </c>
      <c r="C918" t="s">
        <v>8</v>
      </c>
      <c r="H918">
        <f>IF(B918="female", 0, 1)</f>
        <v>0</v>
      </c>
      <c r="I918">
        <f>IF(C918= "yes", 1, 0)</f>
        <v>1</v>
      </c>
      <c r="J918">
        <v>43</v>
      </c>
      <c r="K918">
        <v>26.885000000000002</v>
      </c>
      <c r="L918">
        <v>0</v>
      </c>
      <c r="M918">
        <v>21774.32215</v>
      </c>
    </row>
    <row r="919" spans="1:13" x14ac:dyDescent="0.35">
      <c r="A919" t="s">
        <v>14</v>
      </c>
      <c r="B919" t="s">
        <v>10</v>
      </c>
      <c r="C919" t="s">
        <v>8</v>
      </c>
      <c r="H919">
        <f>IF(B919="female", 0, 1)</f>
        <v>1</v>
      </c>
      <c r="I919">
        <f>IF(C919= "yes", 1, 0)</f>
        <v>1</v>
      </c>
      <c r="J919">
        <v>45</v>
      </c>
      <c r="K919">
        <v>22.895</v>
      </c>
      <c r="L919">
        <v>0</v>
      </c>
      <c r="M919">
        <v>35069.374519999998</v>
      </c>
    </row>
    <row r="920" spans="1:13" x14ac:dyDescent="0.35">
      <c r="A920" t="s">
        <v>9</v>
      </c>
      <c r="B920" t="s">
        <v>7</v>
      </c>
      <c r="C920" t="s">
        <v>11</v>
      </c>
      <c r="H920">
        <f>IF(B920="female", 0, 1)</f>
        <v>0</v>
      </c>
      <c r="I920">
        <f>IF(C920= "yes", 1, 0)</f>
        <v>0</v>
      </c>
      <c r="J920">
        <v>61</v>
      </c>
      <c r="K920">
        <v>28.2</v>
      </c>
      <c r="L920">
        <v>0</v>
      </c>
      <c r="M920">
        <v>13041.921</v>
      </c>
    </row>
    <row r="921" spans="1:13" x14ac:dyDescent="0.35">
      <c r="A921" t="s">
        <v>12</v>
      </c>
      <c r="B921" t="s">
        <v>7</v>
      </c>
      <c r="C921" t="s">
        <v>11</v>
      </c>
      <c r="H921">
        <f>IF(B921="female", 0, 1)</f>
        <v>0</v>
      </c>
      <c r="I921">
        <f>IF(C921= "yes", 1, 0)</f>
        <v>0</v>
      </c>
      <c r="J921">
        <v>35</v>
      </c>
      <c r="K921">
        <v>34.21</v>
      </c>
      <c r="L921">
        <v>1</v>
      </c>
      <c r="M921">
        <v>5245.2268999999997</v>
      </c>
    </row>
    <row r="922" spans="1:13" x14ac:dyDescent="0.35">
      <c r="A922" t="s">
        <v>9</v>
      </c>
      <c r="B922" t="s">
        <v>7</v>
      </c>
      <c r="C922" t="s">
        <v>11</v>
      </c>
      <c r="H922">
        <f>IF(B922="female", 0, 1)</f>
        <v>0</v>
      </c>
      <c r="I922">
        <f>IF(C922= "yes", 1, 0)</f>
        <v>0</v>
      </c>
      <c r="J922">
        <v>62</v>
      </c>
      <c r="K922">
        <v>25</v>
      </c>
      <c r="L922">
        <v>0</v>
      </c>
      <c r="M922">
        <v>13451.121999999999</v>
      </c>
    </row>
    <row r="923" spans="1:13" x14ac:dyDescent="0.35">
      <c r="A923" t="s">
        <v>9</v>
      </c>
      <c r="B923" t="s">
        <v>7</v>
      </c>
      <c r="C923" t="s">
        <v>11</v>
      </c>
      <c r="H923">
        <f>IF(B923="female", 0, 1)</f>
        <v>0</v>
      </c>
      <c r="I923">
        <f>IF(C923= "yes", 1, 0)</f>
        <v>0</v>
      </c>
      <c r="J923">
        <v>62</v>
      </c>
      <c r="K923">
        <v>33.200000000000003</v>
      </c>
      <c r="L923">
        <v>0</v>
      </c>
      <c r="M923">
        <v>13462.52</v>
      </c>
    </row>
    <row r="924" spans="1:13" x14ac:dyDescent="0.35">
      <c r="A924" t="s">
        <v>9</v>
      </c>
      <c r="B924" t="s">
        <v>10</v>
      </c>
      <c r="C924" t="s">
        <v>11</v>
      </c>
      <c r="H924">
        <f>IF(B924="female", 0, 1)</f>
        <v>1</v>
      </c>
      <c r="I924">
        <f>IF(C924= "yes", 1, 0)</f>
        <v>0</v>
      </c>
      <c r="J924">
        <v>38</v>
      </c>
      <c r="K924">
        <v>31</v>
      </c>
      <c r="L924">
        <v>1</v>
      </c>
      <c r="M924">
        <v>5488.2619999999997</v>
      </c>
    </row>
    <row r="925" spans="1:13" x14ac:dyDescent="0.35">
      <c r="A925" t="s">
        <v>13</v>
      </c>
      <c r="B925" t="s">
        <v>10</v>
      </c>
      <c r="C925" t="s">
        <v>11</v>
      </c>
      <c r="H925">
        <f>IF(B925="female", 0, 1)</f>
        <v>1</v>
      </c>
      <c r="I925">
        <f>IF(C925= "yes", 1, 0)</f>
        <v>0</v>
      </c>
      <c r="J925">
        <v>34</v>
      </c>
      <c r="K925">
        <v>35.814999999999998</v>
      </c>
      <c r="L925">
        <v>0</v>
      </c>
      <c r="M925">
        <v>4320.4108500000002</v>
      </c>
    </row>
    <row r="926" spans="1:13" x14ac:dyDescent="0.35">
      <c r="A926" t="s">
        <v>9</v>
      </c>
      <c r="B926" t="s">
        <v>10</v>
      </c>
      <c r="C926" t="s">
        <v>11</v>
      </c>
      <c r="H926">
        <f>IF(B926="female", 0, 1)</f>
        <v>1</v>
      </c>
      <c r="I926">
        <f>IF(C926= "yes", 1, 0)</f>
        <v>0</v>
      </c>
      <c r="J926">
        <v>43</v>
      </c>
      <c r="K926">
        <v>23.2</v>
      </c>
      <c r="L926">
        <v>0</v>
      </c>
      <c r="M926">
        <v>6250.4350000000004</v>
      </c>
    </row>
    <row r="927" spans="1:13" x14ac:dyDescent="0.35">
      <c r="A927" t="s">
        <v>14</v>
      </c>
      <c r="B927" t="s">
        <v>10</v>
      </c>
      <c r="C927" t="s">
        <v>11</v>
      </c>
      <c r="H927">
        <f>IF(B927="female", 0, 1)</f>
        <v>1</v>
      </c>
      <c r="I927">
        <f>IF(C927= "yes", 1, 0)</f>
        <v>0</v>
      </c>
      <c r="J927">
        <v>50</v>
      </c>
      <c r="K927">
        <v>32.11</v>
      </c>
      <c r="L927">
        <v>2</v>
      </c>
      <c r="M927">
        <v>25333.332839999999</v>
      </c>
    </row>
    <row r="928" spans="1:13" x14ac:dyDescent="0.35">
      <c r="A928" t="s">
        <v>9</v>
      </c>
      <c r="B928" t="s">
        <v>7</v>
      </c>
      <c r="C928" t="s">
        <v>11</v>
      </c>
      <c r="H928">
        <f>IF(B928="female", 0, 1)</f>
        <v>0</v>
      </c>
      <c r="I928">
        <f>IF(C928= "yes", 1, 0)</f>
        <v>0</v>
      </c>
      <c r="J928">
        <v>19</v>
      </c>
      <c r="K928">
        <v>23.4</v>
      </c>
      <c r="L928">
        <v>2</v>
      </c>
      <c r="M928">
        <v>2913.569</v>
      </c>
    </row>
    <row r="929" spans="1:13" x14ac:dyDescent="0.35">
      <c r="A929" t="s">
        <v>9</v>
      </c>
      <c r="B929" t="s">
        <v>7</v>
      </c>
      <c r="C929" t="s">
        <v>11</v>
      </c>
      <c r="H929">
        <f>IF(B929="female", 0, 1)</f>
        <v>0</v>
      </c>
      <c r="I929">
        <f>IF(C929= "yes", 1, 0)</f>
        <v>0</v>
      </c>
      <c r="J929">
        <v>57</v>
      </c>
      <c r="K929">
        <v>20.100000000000001</v>
      </c>
      <c r="L929">
        <v>1</v>
      </c>
      <c r="M929">
        <v>12032.325999999999</v>
      </c>
    </row>
    <row r="930" spans="1:13" x14ac:dyDescent="0.35">
      <c r="A930" t="s">
        <v>12</v>
      </c>
      <c r="B930" t="s">
        <v>7</v>
      </c>
      <c r="C930" t="s">
        <v>11</v>
      </c>
      <c r="H930">
        <f>IF(B930="female", 0, 1)</f>
        <v>0</v>
      </c>
      <c r="I930">
        <f>IF(C930= "yes", 1, 0)</f>
        <v>0</v>
      </c>
      <c r="J930">
        <v>62</v>
      </c>
      <c r="K930">
        <v>39.159999999999997</v>
      </c>
      <c r="L930">
        <v>0</v>
      </c>
      <c r="M930">
        <v>13470.804400000001</v>
      </c>
    </row>
    <row r="931" spans="1:13" x14ac:dyDescent="0.35">
      <c r="A931" t="s">
        <v>12</v>
      </c>
      <c r="B931" t="s">
        <v>10</v>
      </c>
      <c r="C931" t="s">
        <v>11</v>
      </c>
      <c r="H931">
        <f>IF(B931="female", 0, 1)</f>
        <v>1</v>
      </c>
      <c r="I931">
        <f>IF(C931= "yes", 1, 0)</f>
        <v>0</v>
      </c>
      <c r="J931">
        <v>41</v>
      </c>
      <c r="K931">
        <v>34.21</v>
      </c>
      <c r="L931">
        <v>1</v>
      </c>
      <c r="M931">
        <v>6289.7548999999999</v>
      </c>
    </row>
    <row r="932" spans="1:13" x14ac:dyDescent="0.35">
      <c r="A932" t="s">
        <v>12</v>
      </c>
      <c r="B932" t="s">
        <v>10</v>
      </c>
      <c r="C932" t="s">
        <v>11</v>
      </c>
      <c r="H932">
        <f>IF(B932="female", 0, 1)</f>
        <v>1</v>
      </c>
      <c r="I932">
        <f>IF(C932= "yes", 1, 0)</f>
        <v>0</v>
      </c>
      <c r="J932">
        <v>26</v>
      </c>
      <c r="K932">
        <v>46.53</v>
      </c>
      <c r="L932">
        <v>1</v>
      </c>
      <c r="M932">
        <v>2927.0646999999999</v>
      </c>
    </row>
    <row r="933" spans="1:13" x14ac:dyDescent="0.35">
      <c r="A933" t="s">
        <v>9</v>
      </c>
      <c r="B933" t="s">
        <v>7</v>
      </c>
      <c r="C933" t="s">
        <v>11</v>
      </c>
      <c r="H933">
        <f>IF(B933="female", 0, 1)</f>
        <v>0</v>
      </c>
      <c r="I933">
        <f>IF(C933= "yes", 1, 0)</f>
        <v>0</v>
      </c>
      <c r="J933">
        <v>39</v>
      </c>
      <c r="K933">
        <v>32.5</v>
      </c>
      <c r="L933">
        <v>1</v>
      </c>
      <c r="M933">
        <v>6238.2979999999998</v>
      </c>
    </row>
    <row r="934" spans="1:13" x14ac:dyDescent="0.35">
      <c r="A934" t="s">
        <v>9</v>
      </c>
      <c r="B934" t="s">
        <v>10</v>
      </c>
      <c r="C934" t="s">
        <v>11</v>
      </c>
      <c r="H934">
        <f>IF(B934="female", 0, 1)</f>
        <v>1</v>
      </c>
      <c r="I934">
        <f>IF(C934= "yes", 1, 0)</f>
        <v>0</v>
      </c>
      <c r="J934">
        <v>46</v>
      </c>
      <c r="K934">
        <v>25.8</v>
      </c>
      <c r="L934">
        <v>5</v>
      </c>
      <c r="M934">
        <v>10096.969999999999</v>
      </c>
    </row>
    <row r="935" spans="1:13" x14ac:dyDescent="0.35">
      <c r="A935" t="s">
        <v>9</v>
      </c>
      <c r="B935" t="s">
        <v>7</v>
      </c>
      <c r="C935" t="s">
        <v>11</v>
      </c>
      <c r="H935">
        <f>IF(B935="female", 0, 1)</f>
        <v>0</v>
      </c>
      <c r="I935">
        <f>IF(C935= "yes", 1, 0)</f>
        <v>0</v>
      </c>
      <c r="J935">
        <v>45</v>
      </c>
      <c r="K935">
        <v>35.299999999999997</v>
      </c>
      <c r="L935">
        <v>0</v>
      </c>
      <c r="M935">
        <v>7348.1419999999998</v>
      </c>
    </row>
    <row r="936" spans="1:13" x14ac:dyDescent="0.35">
      <c r="A936" t="s">
        <v>12</v>
      </c>
      <c r="B936" t="s">
        <v>10</v>
      </c>
      <c r="C936" t="s">
        <v>11</v>
      </c>
      <c r="H936">
        <f>IF(B936="female", 0, 1)</f>
        <v>1</v>
      </c>
      <c r="I936">
        <f>IF(C936= "yes", 1, 0)</f>
        <v>0</v>
      </c>
      <c r="J936">
        <v>32</v>
      </c>
      <c r="K936">
        <v>37.18</v>
      </c>
      <c r="L936">
        <v>2</v>
      </c>
      <c r="M936">
        <v>4673.3922000000002</v>
      </c>
    </row>
    <row r="937" spans="1:13" x14ac:dyDescent="0.35">
      <c r="A937" t="s">
        <v>9</v>
      </c>
      <c r="B937" t="s">
        <v>7</v>
      </c>
      <c r="C937" t="s">
        <v>11</v>
      </c>
      <c r="H937">
        <f>IF(B937="female", 0, 1)</f>
        <v>0</v>
      </c>
      <c r="I937">
        <f>IF(C937= "yes", 1, 0)</f>
        <v>0</v>
      </c>
      <c r="J937">
        <v>59</v>
      </c>
      <c r="K937">
        <v>27.5</v>
      </c>
      <c r="L937">
        <v>0</v>
      </c>
      <c r="M937">
        <v>12233.828</v>
      </c>
    </row>
    <row r="938" spans="1:13" x14ac:dyDescent="0.35">
      <c r="A938" t="s">
        <v>14</v>
      </c>
      <c r="B938" t="s">
        <v>10</v>
      </c>
      <c r="C938" t="s">
        <v>11</v>
      </c>
      <c r="H938">
        <f>IF(B938="female", 0, 1)</f>
        <v>1</v>
      </c>
      <c r="I938">
        <f>IF(C938= "yes", 1, 0)</f>
        <v>0</v>
      </c>
      <c r="J938">
        <v>44</v>
      </c>
      <c r="K938">
        <v>29.734999999999999</v>
      </c>
      <c r="L938">
        <v>2</v>
      </c>
      <c r="M938">
        <v>32108.662820000001</v>
      </c>
    </row>
    <row r="939" spans="1:13" x14ac:dyDescent="0.35">
      <c r="A939" t="s">
        <v>13</v>
      </c>
      <c r="B939" t="s">
        <v>7</v>
      </c>
      <c r="C939" t="s">
        <v>11</v>
      </c>
      <c r="H939">
        <f>IF(B939="female", 0, 1)</f>
        <v>0</v>
      </c>
      <c r="I939">
        <f>IF(C939= "yes", 1, 0)</f>
        <v>0</v>
      </c>
      <c r="J939">
        <v>39</v>
      </c>
      <c r="K939">
        <v>24.225000000000001</v>
      </c>
      <c r="L939">
        <v>5</v>
      </c>
      <c r="M939">
        <v>8965.7957499999993</v>
      </c>
    </row>
    <row r="940" spans="1:13" x14ac:dyDescent="0.35">
      <c r="A940" t="s">
        <v>12</v>
      </c>
      <c r="B940" t="s">
        <v>10</v>
      </c>
      <c r="C940" t="s">
        <v>11</v>
      </c>
      <c r="H940">
        <f>IF(B940="female", 0, 1)</f>
        <v>1</v>
      </c>
      <c r="I940">
        <f>IF(C940= "yes", 1, 0)</f>
        <v>0</v>
      </c>
      <c r="J940">
        <v>18</v>
      </c>
      <c r="K940">
        <v>26.18</v>
      </c>
      <c r="L940">
        <v>2</v>
      </c>
      <c r="M940">
        <v>2304.0021999999999</v>
      </c>
    </row>
    <row r="941" spans="1:13" x14ac:dyDescent="0.35">
      <c r="A941" t="s">
        <v>12</v>
      </c>
      <c r="B941" t="s">
        <v>10</v>
      </c>
      <c r="C941" t="s">
        <v>11</v>
      </c>
      <c r="H941">
        <f>IF(B941="female", 0, 1)</f>
        <v>1</v>
      </c>
      <c r="I941">
        <f>IF(C941= "yes", 1, 0)</f>
        <v>0</v>
      </c>
      <c r="J941">
        <v>53</v>
      </c>
      <c r="K941">
        <v>29.48</v>
      </c>
      <c r="L941">
        <v>0</v>
      </c>
      <c r="M941">
        <v>9487.6442000000006</v>
      </c>
    </row>
    <row r="942" spans="1:13" x14ac:dyDescent="0.35">
      <c r="A942" t="s">
        <v>12</v>
      </c>
      <c r="B942" t="s">
        <v>10</v>
      </c>
      <c r="C942" t="s">
        <v>11</v>
      </c>
      <c r="H942">
        <f>IF(B942="female", 0, 1)</f>
        <v>1</v>
      </c>
      <c r="I942">
        <f>IF(C942= "yes", 1, 0)</f>
        <v>0</v>
      </c>
      <c r="J942">
        <v>18</v>
      </c>
      <c r="K942">
        <v>23.21</v>
      </c>
      <c r="L942">
        <v>0</v>
      </c>
      <c r="M942">
        <v>1121.8739</v>
      </c>
    </row>
    <row r="943" spans="1:13" x14ac:dyDescent="0.35">
      <c r="A943" t="s">
        <v>12</v>
      </c>
      <c r="B943" t="s">
        <v>7</v>
      </c>
      <c r="C943" t="s">
        <v>11</v>
      </c>
      <c r="H943">
        <f>IF(B943="female", 0, 1)</f>
        <v>0</v>
      </c>
      <c r="I943">
        <f>IF(C943= "yes", 1, 0)</f>
        <v>0</v>
      </c>
      <c r="J943">
        <v>50</v>
      </c>
      <c r="K943">
        <v>46.09</v>
      </c>
      <c r="L943">
        <v>1</v>
      </c>
      <c r="M943">
        <v>9549.5650999999998</v>
      </c>
    </row>
    <row r="944" spans="1:13" x14ac:dyDescent="0.35">
      <c r="A944" t="s">
        <v>14</v>
      </c>
      <c r="B944" t="s">
        <v>7</v>
      </c>
      <c r="C944" t="s">
        <v>11</v>
      </c>
      <c r="H944">
        <f>IF(B944="female", 0, 1)</f>
        <v>0</v>
      </c>
      <c r="I944">
        <f>IF(C944= "yes", 1, 0)</f>
        <v>0</v>
      </c>
      <c r="J944">
        <v>18</v>
      </c>
      <c r="K944">
        <v>40.185000000000002</v>
      </c>
      <c r="L944">
        <v>0</v>
      </c>
      <c r="M944">
        <v>2217.4691499999999</v>
      </c>
    </row>
    <row r="945" spans="1:13" x14ac:dyDescent="0.35">
      <c r="A945" t="s">
        <v>13</v>
      </c>
      <c r="B945" t="s">
        <v>10</v>
      </c>
      <c r="C945" t="s">
        <v>11</v>
      </c>
      <c r="H945">
        <f>IF(B945="female", 0, 1)</f>
        <v>1</v>
      </c>
      <c r="I945">
        <f>IF(C945= "yes", 1, 0)</f>
        <v>0</v>
      </c>
      <c r="J945">
        <v>19</v>
      </c>
      <c r="K945">
        <v>22.61</v>
      </c>
      <c r="L945">
        <v>0</v>
      </c>
      <c r="M945">
        <v>1628.4709</v>
      </c>
    </row>
    <row r="946" spans="1:13" x14ac:dyDescent="0.35">
      <c r="A946" t="s">
        <v>12</v>
      </c>
      <c r="B946" t="s">
        <v>10</v>
      </c>
      <c r="C946" t="s">
        <v>11</v>
      </c>
      <c r="H946">
        <f>IF(B946="female", 0, 1)</f>
        <v>1</v>
      </c>
      <c r="I946">
        <f>IF(C946= "yes", 1, 0)</f>
        <v>0</v>
      </c>
      <c r="J946">
        <v>62</v>
      </c>
      <c r="K946">
        <v>39.93</v>
      </c>
      <c r="L946">
        <v>0</v>
      </c>
      <c r="M946">
        <v>12982.8747</v>
      </c>
    </row>
    <row r="947" spans="1:13" x14ac:dyDescent="0.35">
      <c r="A947" t="s">
        <v>9</v>
      </c>
      <c r="B947" t="s">
        <v>7</v>
      </c>
      <c r="C947" t="s">
        <v>11</v>
      </c>
      <c r="H947">
        <f>IF(B947="female", 0, 1)</f>
        <v>0</v>
      </c>
      <c r="I947">
        <f>IF(C947= "yes", 1, 0)</f>
        <v>0</v>
      </c>
      <c r="J947">
        <v>56</v>
      </c>
      <c r="K947">
        <v>35.799999999999997</v>
      </c>
      <c r="L947">
        <v>1</v>
      </c>
      <c r="M947">
        <v>11674.13</v>
      </c>
    </row>
    <row r="948" spans="1:13" x14ac:dyDescent="0.35">
      <c r="A948" t="s">
        <v>9</v>
      </c>
      <c r="B948" t="s">
        <v>10</v>
      </c>
      <c r="C948" t="s">
        <v>11</v>
      </c>
      <c r="H948">
        <f>IF(B948="female", 0, 1)</f>
        <v>1</v>
      </c>
      <c r="I948">
        <f>IF(C948= "yes", 1, 0)</f>
        <v>0</v>
      </c>
      <c r="J948">
        <v>42</v>
      </c>
      <c r="K948">
        <v>35.799999999999997</v>
      </c>
      <c r="L948">
        <v>2</v>
      </c>
      <c r="M948">
        <v>7160.0940000000001</v>
      </c>
    </row>
    <row r="949" spans="1:13" x14ac:dyDescent="0.35">
      <c r="A949" t="s">
        <v>14</v>
      </c>
      <c r="B949" t="s">
        <v>10</v>
      </c>
      <c r="C949" t="s">
        <v>8</v>
      </c>
      <c r="H949">
        <f>IF(B949="female", 0, 1)</f>
        <v>1</v>
      </c>
      <c r="I949">
        <f>IF(C949= "yes", 1, 0)</f>
        <v>1</v>
      </c>
      <c r="J949">
        <v>37</v>
      </c>
      <c r="K949">
        <v>34.200000000000003</v>
      </c>
      <c r="L949">
        <v>1</v>
      </c>
      <c r="M949">
        <v>39047.285000000003</v>
      </c>
    </row>
    <row r="950" spans="1:13" x14ac:dyDescent="0.35">
      <c r="A950" t="s">
        <v>13</v>
      </c>
      <c r="B950" t="s">
        <v>10</v>
      </c>
      <c r="C950" t="s">
        <v>11</v>
      </c>
      <c r="H950">
        <f>IF(B950="female", 0, 1)</f>
        <v>1</v>
      </c>
      <c r="I950">
        <f>IF(C950= "yes", 1, 0)</f>
        <v>0</v>
      </c>
      <c r="J950">
        <v>42</v>
      </c>
      <c r="K950">
        <v>31.254999999999999</v>
      </c>
      <c r="L950">
        <v>0</v>
      </c>
      <c r="M950">
        <v>6358.7764500000003</v>
      </c>
    </row>
    <row r="951" spans="1:13" x14ac:dyDescent="0.35">
      <c r="A951" t="s">
        <v>9</v>
      </c>
      <c r="B951" t="s">
        <v>10</v>
      </c>
      <c r="C951" t="s">
        <v>8</v>
      </c>
      <c r="H951">
        <f>IF(B951="female", 0, 1)</f>
        <v>1</v>
      </c>
      <c r="I951">
        <f>IF(C951= "yes", 1, 0)</f>
        <v>1</v>
      </c>
      <c r="J951">
        <v>25</v>
      </c>
      <c r="K951">
        <v>29.7</v>
      </c>
      <c r="L951">
        <v>3</v>
      </c>
      <c r="M951">
        <v>19933.457999999999</v>
      </c>
    </row>
    <row r="952" spans="1:13" x14ac:dyDescent="0.35">
      <c r="A952" t="s">
        <v>14</v>
      </c>
      <c r="B952" t="s">
        <v>10</v>
      </c>
      <c r="C952" t="s">
        <v>11</v>
      </c>
      <c r="H952">
        <f>IF(B952="female", 0, 1)</f>
        <v>1</v>
      </c>
      <c r="I952">
        <f>IF(C952= "yes", 1, 0)</f>
        <v>0</v>
      </c>
      <c r="J952">
        <v>57</v>
      </c>
      <c r="K952">
        <v>18.335000000000001</v>
      </c>
      <c r="L952">
        <v>0</v>
      </c>
      <c r="M952">
        <v>11534.872649999999</v>
      </c>
    </row>
    <row r="953" spans="1:13" x14ac:dyDescent="0.35">
      <c r="A953" t="s">
        <v>12</v>
      </c>
      <c r="B953" t="s">
        <v>10</v>
      </c>
      <c r="C953" t="s">
        <v>8</v>
      </c>
      <c r="H953">
        <f>IF(B953="female", 0, 1)</f>
        <v>1</v>
      </c>
      <c r="I953">
        <f>IF(C953= "yes", 1, 0)</f>
        <v>1</v>
      </c>
      <c r="J953">
        <v>51</v>
      </c>
      <c r="K953">
        <v>42.9</v>
      </c>
      <c r="L953">
        <v>2</v>
      </c>
      <c r="M953">
        <v>47462.894</v>
      </c>
    </row>
    <row r="954" spans="1:13" x14ac:dyDescent="0.35">
      <c r="A954" t="s">
        <v>13</v>
      </c>
      <c r="B954" t="s">
        <v>7</v>
      </c>
      <c r="C954" t="s">
        <v>11</v>
      </c>
      <c r="H954">
        <f>IF(B954="female", 0, 1)</f>
        <v>0</v>
      </c>
      <c r="I954">
        <f>IF(C954= "yes", 1, 0)</f>
        <v>0</v>
      </c>
      <c r="J954">
        <v>30</v>
      </c>
      <c r="K954">
        <v>28.405000000000001</v>
      </c>
      <c r="L954">
        <v>1</v>
      </c>
      <c r="M954">
        <v>4527.1829500000003</v>
      </c>
    </row>
    <row r="955" spans="1:13" x14ac:dyDescent="0.35">
      <c r="A955" t="s">
        <v>9</v>
      </c>
      <c r="B955" t="s">
        <v>10</v>
      </c>
      <c r="C955" t="s">
        <v>8</v>
      </c>
      <c r="H955">
        <f>IF(B955="female", 0, 1)</f>
        <v>1</v>
      </c>
      <c r="I955">
        <f>IF(C955= "yes", 1, 0)</f>
        <v>1</v>
      </c>
      <c r="J955">
        <v>44</v>
      </c>
      <c r="K955">
        <v>30.2</v>
      </c>
      <c r="L955">
        <v>2</v>
      </c>
      <c r="M955">
        <v>38998.546000000002</v>
      </c>
    </row>
    <row r="956" spans="1:13" x14ac:dyDescent="0.35">
      <c r="A956" t="s">
        <v>13</v>
      </c>
      <c r="B956" t="s">
        <v>10</v>
      </c>
      <c r="C956" t="s">
        <v>8</v>
      </c>
      <c r="H956">
        <f>IF(B956="female", 0, 1)</f>
        <v>1</v>
      </c>
      <c r="I956">
        <f>IF(C956= "yes", 1, 0)</f>
        <v>1</v>
      </c>
      <c r="J956">
        <v>34</v>
      </c>
      <c r="K956">
        <v>27.835000000000001</v>
      </c>
      <c r="L956">
        <v>1</v>
      </c>
      <c r="M956">
        <v>20009.63365</v>
      </c>
    </row>
    <row r="957" spans="1:13" x14ac:dyDescent="0.35">
      <c r="A957" t="s">
        <v>12</v>
      </c>
      <c r="B957" t="s">
        <v>10</v>
      </c>
      <c r="C957" t="s">
        <v>11</v>
      </c>
      <c r="H957">
        <f>IF(B957="female", 0, 1)</f>
        <v>1</v>
      </c>
      <c r="I957">
        <f>IF(C957= "yes", 1, 0)</f>
        <v>0</v>
      </c>
      <c r="J957">
        <v>31</v>
      </c>
      <c r="K957">
        <v>39.49</v>
      </c>
      <c r="L957">
        <v>1</v>
      </c>
      <c r="M957">
        <v>3875.7341000000001</v>
      </c>
    </row>
    <row r="958" spans="1:13" x14ac:dyDescent="0.35">
      <c r="A958" t="s">
        <v>12</v>
      </c>
      <c r="B958" t="s">
        <v>10</v>
      </c>
      <c r="C958" t="s">
        <v>8</v>
      </c>
      <c r="H958">
        <f>IF(B958="female", 0, 1)</f>
        <v>1</v>
      </c>
      <c r="I958">
        <f>IF(C958= "yes", 1, 0)</f>
        <v>1</v>
      </c>
      <c r="J958">
        <v>54</v>
      </c>
      <c r="K958">
        <v>30.8</v>
      </c>
      <c r="L958">
        <v>1</v>
      </c>
      <c r="M958">
        <v>41999.519999999997</v>
      </c>
    </row>
    <row r="959" spans="1:13" x14ac:dyDescent="0.35">
      <c r="A959" t="s">
        <v>13</v>
      </c>
      <c r="B959" t="s">
        <v>10</v>
      </c>
      <c r="C959" t="s">
        <v>11</v>
      </c>
      <c r="H959">
        <f>IF(B959="female", 0, 1)</f>
        <v>1</v>
      </c>
      <c r="I959">
        <f>IF(C959= "yes", 1, 0)</f>
        <v>0</v>
      </c>
      <c r="J959">
        <v>24</v>
      </c>
      <c r="K959">
        <v>26.79</v>
      </c>
      <c r="L959">
        <v>1</v>
      </c>
      <c r="M959">
        <v>12609.88702</v>
      </c>
    </row>
    <row r="960" spans="1:13" x14ac:dyDescent="0.35">
      <c r="A960" t="s">
        <v>14</v>
      </c>
      <c r="B960" t="s">
        <v>10</v>
      </c>
      <c r="C960" t="s">
        <v>8</v>
      </c>
      <c r="H960">
        <f>IF(B960="female", 0, 1)</f>
        <v>1</v>
      </c>
      <c r="I960">
        <f>IF(C960= "yes", 1, 0)</f>
        <v>1</v>
      </c>
      <c r="J960">
        <v>43</v>
      </c>
      <c r="K960">
        <v>34.96</v>
      </c>
      <c r="L960">
        <v>1</v>
      </c>
      <c r="M960">
        <v>41034.221400000002</v>
      </c>
    </row>
    <row r="961" spans="1:13" x14ac:dyDescent="0.35">
      <c r="A961" t="s">
        <v>13</v>
      </c>
      <c r="B961" t="s">
        <v>10</v>
      </c>
      <c r="C961" t="s">
        <v>11</v>
      </c>
      <c r="H961">
        <f>IF(B961="female", 0, 1)</f>
        <v>1</v>
      </c>
      <c r="I961">
        <f>IF(C961= "yes", 1, 0)</f>
        <v>0</v>
      </c>
      <c r="J961">
        <v>48</v>
      </c>
      <c r="K961">
        <v>36.67</v>
      </c>
      <c r="L961">
        <v>1</v>
      </c>
      <c r="M961">
        <v>28468.919010000001</v>
      </c>
    </row>
    <row r="962" spans="1:13" x14ac:dyDescent="0.35">
      <c r="A962" t="s">
        <v>13</v>
      </c>
      <c r="B962" t="s">
        <v>7</v>
      </c>
      <c r="C962" t="s">
        <v>11</v>
      </c>
      <c r="H962">
        <f>IF(B962="female", 0, 1)</f>
        <v>0</v>
      </c>
      <c r="I962">
        <f>IF(C962= "yes", 1, 0)</f>
        <v>0</v>
      </c>
      <c r="J962">
        <v>19</v>
      </c>
      <c r="K962">
        <v>39.615000000000002</v>
      </c>
      <c r="L962">
        <v>1</v>
      </c>
      <c r="M962">
        <v>2730.1078499999999</v>
      </c>
    </row>
    <row r="963" spans="1:13" x14ac:dyDescent="0.35">
      <c r="A963" t="s">
        <v>9</v>
      </c>
      <c r="B963" t="s">
        <v>7</v>
      </c>
      <c r="C963" t="s">
        <v>11</v>
      </c>
      <c r="H963">
        <f>IF(B963="female", 0, 1)</f>
        <v>0</v>
      </c>
      <c r="I963">
        <f>IF(C963= "yes", 1, 0)</f>
        <v>0</v>
      </c>
      <c r="J963">
        <v>29</v>
      </c>
      <c r="K963">
        <v>25.9</v>
      </c>
      <c r="L963">
        <v>0</v>
      </c>
      <c r="M963">
        <v>3353.2840000000001</v>
      </c>
    </row>
    <row r="964" spans="1:13" x14ac:dyDescent="0.35">
      <c r="A964" t="s">
        <v>12</v>
      </c>
      <c r="B964" t="s">
        <v>7</v>
      </c>
      <c r="C964" t="s">
        <v>11</v>
      </c>
      <c r="H964">
        <f>IF(B964="female", 0, 1)</f>
        <v>0</v>
      </c>
      <c r="I964">
        <f>IF(C964= "yes", 1, 0)</f>
        <v>0</v>
      </c>
      <c r="J964">
        <v>63</v>
      </c>
      <c r="K964">
        <v>35.200000000000003</v>
      </c>
      <c r="L964">
        <v>1</v>
      </c>
      <c r="M964">
        <v>14474.674999999999</v>
      </c>
    </row>
    <row r="965" spans="1:13" x14ac:dyDescent="0.35">
      <c r="A965" t="s">
        <v>14</v>
      </c>
      <c r="B965" t="s">
        <v>10</v>
      </c>
      <c r="C965" t="s">
        <v>11</v>
      </c>
      <c r="H965">
        <f>IF(B965="female", 0, 1)</f>
        <v>1</v>
      </c>
      <c r="I965">
        <f>IF(C965= "yes", 1, 0)</f>
        <v>0</v>
      </c>
      <c r="J965">
        <v>46</v>
      </c>
      <c r="K965">
        <v>24.795000000000002</v>
      </c>
      <c r="L965">
        <v>3</v>
      </c>
      <c r="M965">
        <v>9500.5730500000009</v>
      </c>
    </row>
    <row r="966" spans="1:13" x14ac:dyDescent="0.35">
      <c r="A966" t="s">
        <v>13</v>
      </c>
      <c r="B966" t="s">
        <v>10</v>
      </c>
      <c r="C966" t="s">
        <v>11</v>
      </c>
      <c r="H966">
        <f>IF(B966="female", 0, 1)</f>
        <v>1</v>
      </c>
      <c r="I966">
        <f>IF(C966= "yes", 1, 0)</f>
        <v>0</v>
      </c>
      <c r="J966">
        <v>52</v>
      </c>
      <c r="K966">
        <v>36.765000000000001</v>
      </c>
      <c r="L966">
        <v>2</v>
      </c>
      <c r="M966">
        <v>26467.09737</v>
      </c>
    </row>
    <row r="967" spans="1:13" x14ac:dyDescent="0.35">
      <c r="A967" t="s">
        <v>9</v>
      </c>
      <c r="B967" t="s">
        <v>10</v>
      </c>
      <c r="C967" t="s">
        <v>11</v>
      </c>
      <c r="H967">
        <f>IF(B967="female", 0, 1)</f>
        <v>1</v>
      </c>
      <c r="I967">
        <f>IF(C967= "yes", 1, 0)</f>
        <v>0</v>
      </c>
      <c r="J967">
        <v>35</v>
      </c>
      <c r="K967">
        <v>27.1</v>
      </c>
      <c r="L967">
        <v>1</v>
      </c>
      <c r="M967">
        <v>4746.3440000000001</v>
      </c>
    </row>
    <row r="968" spans="1:13" x14ac:dyDescent="0.35">
      <c r="A968" t="s">
        <v>13</v>
      </c>
      <c r="B968" t="s">
        <v>10</v>
      </c>
      <c r="C968" t="s">
        <v>8</v>
      </c>
      <c r="H968">
        <f>IF(B968="female", 0, 1)</f>
        <v>1</v>
      </c>
      <c r="I968">
        <f>IF(C968= "yes", 1, 0)</f>
        <v>1</v>
      </c>
      <c r="J968">
        <v>51</v>
      </c>
      <c r="K968">
        <v>24.795000000000002</v>
      </c>
      <c r="L968">
        <v>2</v>
      </c>
      <c r="M968">
        <v>23967.38305</v>
      </c>
    </row>
    <row r="969" spans="1:13" x14ac:dyDescent="0.35">
      <c r="A969" t="s">
        <v>13</v>
      </c>
      <c r="B969" t="s">
        <v>10</v>
      </c>
      <c r="C969" t="s">
        <v>11</v>
      </c>
      <c r="H969">
        <f>IF(B969="female", 0, 1)</f>
        <v>1</v>
      </c>
      <c r="I969">
        <f>IF(C969= "yes", 1, 0)</f>
        <v>0</v>
      </c>
      <c r="J969">
        <v>44</v>
      </c>
      <c r="K969">
        <v>25.364999999999998</v>
      </c>
      <c r="L969">
        <v>1</v>
      </c>
      <c r="M969">
        <v>7518.0253499999999</v>
      </c>
    </row>
    <row r="970" spans="1:13" x14ac:dyDescent="0.35">
      <c r="A970" t="s">
        <v>14</v>
      </c>
      <c r="B970" t="s">
        <v>10</v>
      </c>
      <c r="C970" t="s">
        <v>11</v>
      </c>
      <c r="H970">
        <f>IF(B970="female", 0, 1)</f>
        <v>1</v>
      </c>
      <c r="I970">
        <f>IF(C970= "yes", 1, 0)</f>
        <v>0</v>
      </c>
      <c r="J970">
        <v>21</v>
      </c>
      <c r="K970">
        <v>25.745000000000001</v>
      </c>
      <c r="L970">
        <v>2</v>
      </c>
      <c r="M970">
        <v>3279.8685500000001</v>
      </c>
    </row>
    <row r="971" spans="1:13" x14ac:dyDescent="0.35">
      <c r="A971" t="s">
        <v>12</v>
      </c>
      <c r="B971" t="s">
        <v>7</v>
      </c>
      <c r="C971" t="s">
        <v>11</v>
      </c>
      <c r="H971">
        <f>IF(B971="female", 0, 1)</f>
        <v>0</v>
      </c>
      <c r="I971">
        <f>IF(C971= "yes", 1, 0)</f>
        <v>0</v>
      </c>
      <c r="J971">
        <v>39</v>
      </c>
      <c r="K971">
        <v>34.32</v>
      </c>
      <c r="L971">
        <v>5</v>
      </c>
      <c r="M971">
        <v>8596.8277999999991</v>
      </c>
    </row>
    <row r="972" spans="1:13" x14ac:dyDescent="0.35">
      <c r="A972" t="s">
        <v>12</v>
      </c>
      <c r="B972" t="s">
        <v>7</v>
      </c>
      <c r="C972" t="s">
        <v>11</v>
      </c>
      <c r="H972">
        <f>IF(B972="female", 0, 1)</f>
        <v>0</v>
      </c>
      <c r="I972">
        <f>IF(C972= "yes", 1, 0)</f>
        <v>0</v>
      </c>
      <c r="J972">
        <v>50</v>
      </c>
      <c r="K972">
        <v>28.16</v>
      </c>
      <c r="L972">
        <v>3</v>
      </c>
      <c r="M972">
        <v>10702.642400000001</v>
      </c>
    </row>
    <row r="973" spans="1:13" x14ac:dyDescent="0.35">
      <c r="A973" t="s">
        <v>14</v>
      </c>
      <c r="B973" t="s">
        <v>7</v>
      </c>
      <c r="C973" t="s">
        <v>11</v>
      </c>
      <c r="H973">
        <f>IF(B973="female", 0, 1)</f>
        <v>0</v>
      </c>
      <c r="I973">
        <f>IF(C973= "yes", 1, 0)</f>
        <v>0</v>
      </c>
      <c r="J973">
        <v>34</v>
      </c>
      <c r="K973">
        <v>23.56</v>
      </c>
      <c r="L973">
        <v>0</v>
      </c>
      <c r="M973">
        <v>4992.3764000000001</v>
      </c>
    </row>
    <row r="974" spans="1:13" x14ac:dyDescent="0.35">
      <c r="A974" t="s">
        <v>13</v>
      </c>
      <c r="B974" t="s">
        <v>7</v>
      </c>
      <c r="C974" t="s">
        <v>11</v>
      </c>
      <c r="H974">
        <f>IF(B974="female", 0, 1)</f>
        <v>0</v>
      </c>
      <c r="I974">
        <f>IF(C974= "yes", 1, 0)</f>
        <v>0</v>
      </c>
      <c r="J974">
        <v>22</v>
      </c>
      <c r="K974">
        <v>20.234999999999999</v>
      </c>
      <c r="L974">
        <v>0</v>
      </c>
      <c r="M974">
        <v>2527.8186500000002</v>
      </c>
    </row>
    <row r="975" spans="1:13" x14ac:dyDescent="0.35">
      <c r="A975" t="s">
        <v>9</v>
      </c>
      <c r="B975" t="s">
        <v>7</v>
      </c>
      <c r="C975" t="s">
        <v>11</v>
      </c>
      <c r="H975">
        <f>IF(B975="female", 0, 1)</f>
        <v>0</v>
      </c>
      <c r="I975">
        <f>IF(C975= "yes", 1, 0)</f>
        <v>0</v>
      </c>
      <c r="J975">
        <v>19</v>
      </c>
      <c r="K975">
        <v>40.5</v>
      </c>
      <c r="L975">
        <v>0</v>
      </c>
      <c r="M975">
        <v>1759.338</v>
      </c>
    </row>
    <row r="976" spans="1:13" x14ac:dyDescent="0.35">
      <c r="A976" t="s">
        <v>12</v>
      </c>
      <c r="B976" t="s">
        <v>10</v>
      </c>
      <c r="C976" t="s">
        <v>11</v>
      </c>
      <c r="H976">
        <f>IF(B976="female", 0, 1)</f>
        <v>1</v>
      </c>
      <c r="I976">
        <f>IF(C976= "yes", 1, 0)</f>
        <v>0</v>
      </c>
      <c r="J976">
        <v>26</v>
      </c>
      <c r="K976">
        <v>35.42</v>
      </c>
      <c r="L976">
        <v>0</v>
      </c>
      <c r="M976">
        <v>2322.6217999999999</v>
      </c>
    </row>
    <row r="977" spans="1:13" x14ac:dyDescent="0.35">
      <c r="A977" t="s">
        <v>14</v>
      </c>
      <c r="B977" t="s">
        <v>10</v>
      </c>
      <c r="C977" t="s">
        <v>8</v>
      </c>
      <c r="H977">
        <f>IF(B977="female", 0, 1)</f>
        <v>1</v>
      </c>
      <c r="I977">
        <f>IF(C977= "yes", 1, 0)</f>
        <v>1</v>
      </c>
      <c r="J977">
        <v>29</v>
      </c>
      <c r="K977">
        <v>22.895</v>
      </c>
      <c r="L977">
        <v>0</v>
      </c>
      <c r="M977">
        <v>16138.762049999999</v>
      </c>
    </row>
    <row r="978" spans="1:13" x14ac:dyDescent="0.35">
      <c r="A978" t="s">
        <v>12</v>
      </c>
      <c r="B978" t="s">
        <v>10</v>
      </c>
      <c r="C978" t="s">
        <v>11</v>
      </c>
      <c r="H978">
        <f>IF(B978="female", 0, 1)</f>
        <v>1</v>
      </c>
      <c r="I978">
        <f>IF(C978= "yes", 1, 0)</f>
        <v>0</v>
      </c>
      <c r="J978">
        <v>48</v>
      </c>
      <c r="K978">
        <v>40.15</v>
      </c>
      <c r="L978">
        <v>0</v>
      </c>
      <c r="M978">
        <v>7804.1605</v>
      </c>
    </row>
    <row r="979" spans="1:13" x14ac:dyDescent="0.35">
      <c r="A979" t="s">
        <v>12</v>
      </c>
      <c r="B979" t="s">
        <v>10</v>
      </c>
      <c r="C979" t="s">
        <v>11</v>
      </c>
      <c r="H979">
        <f>IF(B979="female", 0, 1)</f>
        <v>1</v>
      </c>
      <c r="I979">
        <f>IF(C979= "yes", 1, 0)</f>
        <v>0</v>
      </c>
      <c r="J979">
        <v>26</v>
      </c>
      <c r="K979">
        <v>29.15</v>
      </c>
      <c r="L979">
        <v>1</v>
      </c>
      <c r="M979">
        <v>2902.9065000000001</v>
      </c>
    </row>
    <row r="980" spans="1:13" x14ac:dyDescent="0.35">
      <c r="A980" t="s">
        <v>14</v>
      </c>
      <c r="B980" t="s">
        <v>7</v>
      </c>
      <c r="C980" t="s">
        <v>11</v>
      </c>
      <c r="H980">
        <f>IF(B980="female", 0, 1)</f>
        <v>0</v>
      </c>
      <c r="I980">
        <f>IF(C980= "yes", 1, 0)</f>
        <v>0</v>
      </c>
      <c r="J980">
        <v>45</v>
      </c>
      <c r="K980">
        <v>39.994999999999997</v>
      </c>
      <c r="L980">
        <v>3</v>
      </c>
      <c r="M980">
        <v>9704.6680500000002</v>
      </c>
    </row>
    <row r="981" spans="1:13" x14ac:dyDescent="0.35">
      <c r="A981" t="s">
        <v>12</v>
      </c>
      <c r="B981" t="s">
        <v>7</v>
      </c>
      <c r="C981" t="s">
        <v>11</v>
      </c>
      <c r="H981">
        <f>IF(B981="female", 0, 1)</f>
        <v>0</v>
      </c>
      <c r="I981">
        <f>IF(C981= "yes", 1, 0)</f>
        <v>0</v>
      </c>
      <c r="J981">
        <v>36</v>
      </c>
      <c r="K981">
        <v>29.92</v>
      </c>
      <c r="L981">
        <v>0</v>
      </c>
      <c r="M981">
        <v>4889.0367999999999</v>
      </c>
    </row>
    <row r="982" spans="1:13" x14ac:dyDescent="0.35">
      <c r="A982" t="s">
        <v>14</v>
      </c>
      <c r="B982" t="s">
        <v>10</v>
      </c>
      <c r="C982" t="s">
        <v>11</v>
      </c>
      <c r="H982">
        <f>IF(B982="female", 0, 1)</f>
        <v>1</v>
      </c>
      <c r="I982">
        <f>IF(C982= "yes", 1, 0)</f>
        <v>0</v>
      </c>
      <c r="J982">
        <v>54</v>
      </c>
      <c r="K982">
        <v>25.46</v>
      </c>
      <c r="L982">
        <v>1</v>
      </c>
      <c r="M982">
        <v>25517.11363</v>
      </c>
    </row>
    <row r="983" spans="1:13" x14ac:dyDescent="0.35">
      <c r="A983" t="s">
        <v>14</v>
      </c>
      <c r="B983" t="s">
        <v>10</v>
      </c>
      <c r="C983" t="s">
        <v>11</v>
      </c>
      <c r="H983">
        <f>IF(B983="female", 0, 1)</f>
        <v>1</v>
      </c>
      <c r="I983">
        <f>IF(C983= "yes", 1, 0)</f>
        <v>0</v>
      </c>
      <c r="J983">
        <v>34</v>
      </c>
      <c r="K983">
        <v>21.375</v>
      </c>
      <c r="L983">
        <v>0</v>
      </c>
      <c r="M983">
        <v>4500.33925</v>
      </c>
    </row>
    <row r="984" spans="1:13" x14ac:dyDescent="0.35">
      <c r="A984" t="s">
        <v>9</v>
      </c>
      <c r="B984" t="s">
        <v>10</v>
      </c>
      <c r="C984" t="s">
        <v>8</v>
      </c>
      <c r="H984">
        <f>IF(B984="female", 0, 1)</f>
        <v>1</v>
      </c>
      <c r="I984">
        <f>IF(C984= "yes", 1, 0)</f>
        <v>1</v>
      </c>
      <c r="J984">
        <v>31</v>
      </c>
      <c r="K984">
        <v>25.9</v>
      </c>
      <c r="L984">
        <v>3</v>
      </c>
      <c r="M984">
        <v>19199.944</v>
      </c>
    </row>
    <row r="985" spans="1:13" x14ac:dyDescent="0.35">
      <c r="A985" t="s">
        <v>14</v>
      </c>
      <c r="B985" t="s">
        <v>7</v>
      </c>
      <c r="C985" t="s">
        <v>11</v>
      </c>
      <c r="H985">
        <f>IF(B985="female", 0, 1)</f>
        <v>0</v>
      </c>
      <c r="I985">
        <f>IF(C985= "yes", 1, 0)</f>
        <v>0</v>
      </c>
      <c r="J985">
        <v>27</v>
      </c>
      <c r="K985">
        <v>30.59</v>
      </c>
      <c r="L985">
        <v>1</v>
      </c>
      <c r="M985">
        <v>16796.411940000002</v>
      </c>
    </row>
    <row r="986" spans="1:13" x14ac:dyDescent="0.35">
      <c r="A986" t="s">
        <v>14</v>
      </c>
      <c r="B986" t="s">
        <v>10</v>
      </c>
      <c r="C986" t="s">
        <v>11</v>
      </c>
      <c r="H986">
        <f>IF(B986="female", 0, 1)</f>
        <v>1</v>
      </c>
      <c r="I986">
        <f>IF(C986= "yes", 1, 0)</f>
        <v>0</v>
      </c>
      <c r="J986">
        <v>20</v>
      </c>
      <c r="K986">
        <v>30.114999999999998</v>
      </c>
      <c r="L986">
        <v>5</v>
      </c>
      <c r="M986">
        <v>4915.0598499999996</v>
      </c>
    </row>
    <row r="987" spans="1:13" x14ac:dyDescent="0.35">
      <c r="A987" t="s">
        <v>9</v>
      </c>
      <c r="B987" t="s">
        <v>7</v>
      </c>
      <c r="C987" t="s">
        <v>11</v>
      </c>
      <c r="H987">
        <f>IF(B987="female", 0, 1)</f>
        <v>0</v>
      </c>
      <c r="I987">
        <f>IF(C987= "yes", 1, 0)</f>
        <v>0</v>
      </c>
      <c r="J987">
        <v>44</v>
      </c>
      <c r="K987">
        <v>25.8</v>
      </c>
      <c r="L987">
        <v>1</v>
      </c>
      <c r="M987">
        <v>7624.63</v>
      </c>
    </row>
    <row r="988" spans="1:13" x14ac:dyDescent="0.35">
      <c r="A988" t="s">
        <v>13</v>
      </c>
      <c r="B988" t="s">
        <v>10</v>
      </c>
      <c r="C988" t="s">
        <v>11</v>
      </c>
      <c r="H988">
        <f>IF(B988="female", 0, 1)</f>
        <v>1</v>
      </c>
      <c r="I988">
        <f>IF(C988= "yes", 1, 0)</f>
        <v>0</v>
      </c>
      <c r="J988">
        <v>43</v>
      </c>
      <c r="K988">
        <v>30.114999999999998</v>
      </c>
      <c r="L988">
        <v>3</v>
      </c>
      <c r="M988">
        <v>8410.0468500000006</v>
      </c>
    </row>
    <row r="989" spans="1:13" x14ac:dyDescent="0.35">
      <c r="A989" t="s">
        <v>13</v>
      </c>
      <c r="B989" t="s">
        <v>7</v>
      </c>
      <c r="C989" t="s">
        <v>11</v>
      </c>
      <c r="H989">
        <f>IF(B989="female", 0, 1)</f>
        <v>0</v>
      </c>
      <c r="I989">
        <f>IF(C989= "yes", 1, 0)</f>
        <v>0</v>
      </c>
      <c r="J989">
        <v>45</v>
      </c>
      <c r="K989">
        <v>27.645</v>
      </c>
      <c r="L989">
        <v>1</v>
      </c>
      <c r="M989">
        <v>28340.188849999999</v>
      </c>
    </row>
    <row r="990" spans="1:13" x14ac:dyDescent="0.35">
      <c r="A990" t="s">
        <v>14</v>
      </c>
      <c r="B990" t="s">
        <v>10</v>
      </c>
      <c r="C990" t="s">
        <v>11</v>
      </c>
      <c r="H990">
        <f>IF(B990="female", 0, 1)</f>
        <v>1</v>
      </c>
      <c r="I990">
        <f>IF(C990= "yes", 1, 0)</f>
        <v>0</v>
      </c>
      <c r="J990">
        <v>34</v>
      </c>
      <c r="K990">
        <v>34.674999999999997</v>
      </c>
      <c r="L990">
        <v>0</v>
      </c>
      <c r="M990">
        <v>4518.8262500000001</v>
      </c>
    </row>
    <row r="991" spans="1:13" x14ac:dyDescent="0.35">
      <c r="A991" t="s">
        <v>14</v>
      </c>
      <c r="B991" t="s">
        <v>7</v>
      </c>
      <c r="C991" t="s">
        <v>8</v>
      </c>
      <c r="H991">
        <f>IF(B991="female", 0, 1)</f>
        <v>0</v>
      </c>
      <c r="I991">
        <f>IF(C991= "yes", 1, 0)</f>
        <v>1</v>
      </c>
      <c r="J991">
        <v>24</v>
      </c>
      <c r="K991">
        <v>20.52</v>
      </c>
      <c r="L991">
        <v>0</v>
      </c>
      <c r="M991">
        <v>14571.890799999999</v>
      </c>
    </row>
    <row r="992" spans="1:13" x14ac:dyDescent="0.35">
      <c r="A992" t="s">
        <v>9</v>
      </c>
      <c r="B992" t="s">
        <v>7</v>
      </c>
      <c r="C992" t="s">
        <v>11</v>
      </c>
      <c r="H992">
        <f>IF(B992="female", 0, 1)</f>
        <v>0</v>
      </c>
      <c r="I992">
        <f>IF(C992= "yes", 1, 0)</f>
        <v>0</v>
      </c>
      <c r="J992">
        <v>26</v>
      </c>
      <c r="K992">
        <v>19.8</v>
      </c>
      <c r="L992">
        <v>1</v>
      </c>
      <c r="M992">
        <v>3378.91</v>
      </c>
    </row>
    <row r="993" spans="1:13" x14ac:dyDescent="0.35">
      <c r="A993" t="s">
        <v>14</v>
      </c>
      <c r="B993" t="s">
        <v>7</v>
      </c>
      <c r="C993" t="s">
        <v>11</v>
      </c>
      <c r="H993">
        <f>IF(B993="female", 0, 1)</f>
        <v>0</v>
      </c>
      <c r="I993">
        <f>IF(C993= "yes", 1, 0)</f>
        <v>0</v>
      </c>
      <c r="J993">
        <v>38</v>
      </c>
      <c r="K993">
        <v>27.835000000000001</v>
      </c>
      <c r="L993">
        <v>2</v>
      </c>
      <c r="M993">
        <v>7144.86265</v>
      </c>
    </row>
    <row r="994" spans="1:13" x14ac:dyDescent="0.35">
      <c r="A994" t="s">
        <v>9</v>
      </c>
      <c r="B994" t="s">
        <v>7</v>
      </c>
      <c r="C994" t="s">
        <v>11</v>
      </c>
      <c r="H994">
        <f>IF(B994="female", 0, 1)</f>
        <v>0</v>
      </c>
      <c r="I994">
        <f>IF(C994= "yes", 1, 0)</f>
        <v>0</v>
      </c>
      <c r="J994">
        <v>50</v>
      </c>
      <c r="K994">
        <v>31.6</v>
      </c>
      <c r="L994">
        <v>2</v>
      </c>
      <c r="M994">
        <v>10118.424000000001</v>
      </c>
    </row>
    <row r="995" spans="1:13" x14ac:dyDescent="0.35">
      <c r="A995" t="s">
        <v>12</v>
      </c>
      <c r="B995" t="s">
        <v>10</v>
      </c>
      <c r="C995" t="s">
        <v>11</v>
      </c>
      <c r="H995">
        <f>IF(B995="female", 0, 1)</f>
        <v>1</v>
      </c>
      <c r="I995">
        <f>IF(C995= "yes", 1, 0)</f>
        <v>0</v>
      </c>
      <c r="J995">
        <v>38</v>
      </c>
      <c r="K995">
        <v>28.27</v>
      </c>
      <c r="L995">
        <v>1</v>
      </c>
      <c r="M995">
        <v>5484.4673000000003</v>
      </c>
    </row>
    <row r="996" spans="1:13" x14ac:dyDescent="0.35">
      <c r="A996" t="s">
        <v>13</v>
      </c>
      <c r="B996" t="s">
        <v>7</v>
      </c>
      <c r="C996" t="s">
        <v>8</v>
      </c>
      <c r="H996">
        <f>IF(B996="female", 0, 1)</f>
        <v>0</v>
      </c>
      <c r="I996">
        <f>IF(C996= "yes", 1, 0)</f>
        <v>1</v>
      </c>
      <c r="J996">
        <v>27</v>
      </c>
      <c r="K996">
        <v>20.045000000000002</v>
      </c>
      <c r="L996">
        <v>3</v>
      </c>
      <c r="M996">
        <v>16420.494549999999</v>
      </c>
    </row>
    <row r="997" spans="1:13" x14ac:dyDescent="0.35">
      <c r="A997" t="s">
        <v>14</v>
      </c>
      <c r="B997" t="s">
        <v>7</v>
      </c>
      <c r="C997" t="s">
        <v>11</v>
      </c>
      <c r="H997">
        <f>IF(B997="female", 0, 1)</f>
        <v>0</v>
      </c>
      <c r="I997">
        <f>IF(C997= "yes", 1, 0)</f>
        <v>0</v>
      </c>
      <c r="J997">
        <v>39</v>
      </c>
      <c r="K997">
        <v>23.274999999999999</v>
      </c>
      <c r="L997">
        <v>3</v>
      </c>
      <c r="M997">
        <v>7986.4752500000004</v>
      </c>
    </row>
    <row r="998" spans="1:13" x14ac:dyDescent="0.35">
      <c r="A998" t="s">
        <v>9</v>
      </c>
      <c r="B998" t="s">
        <v>7</v>
      </c>
      <c r="C998" t="s">
        <v>11</v>
      </c>
      <c r="H998">
        <f>IF(B998="female", 0, 1)</f>
        <v>0</v>
      </c>
      <c r="I998">
        <f>IF(C998= "yes", 1, 0)</f>
        <v>0</v>
      </c>
      <c r="J998">
        <v>39</v>
      </c>
      <c r="K998">
        <v>34.1</v>
      </c>
      <c r="L998">
        <v>3</v>
      </c>
      <c r="M998">
        <v>7418.5219999999999</v>
      </c>
    </row>
    <row r="999" spans="1:13" x14ac:dyDescent="0.35">
      <c r="A999" t="s">
        <v>12</v>
      </c>
      <c r="B999" t="s">
        <v>7</v>
      </c>
      <c r="C999" t="s">
        <v>11</v>
      </c>
      <c r="H999">
        <f>IF(B999="female", 0, 1)</f>
        <v>0</v>
      </c>
      <c r="I999">
        <f>IF(C999= "yes", 1, 0)</f>
        <v>0</v>
      </c>
      <c r="J999">
        <v>63</v>
      </c>
      <c r="K999">
        <v>36.85</v>
      </c>
      <c r="L999">
        <v>0</v>
      </c>
      <c r="M999">
        <v>13887.968500000001</v>
      </c>
    </row>
    <row r="1000" spans="1:13" x14ac:dyDescent="0.35">
      <c r="A1000" t="s">
        <v>14</v>
      </c>
      <c r="B1000" t="s">
        <v>7</v>
      </c>
      <c r="C1000" t="s">
        <v>11</v>
      </c>
      <c r="H1000">
        <f>IF(B1000="female", 0, 1)</f>
        <v>0</v>
      </c>
      <c r="I1000">
        <f>IF(C1000= "yes", 1, 0)</f>
        <v>0</v>
      </c>
      <c r="J1000">
        <v>33</v>
      </c>
      <c r="K1000">
        <v>36.29</v>
      </c>
      <c r="L1000">
        <v>3</v>
      </c>
      <c r="M1000">
        <v>6551.7501000000002</v>
      </c>
    </row>
    <row r="1001" spans="1:13" x14ac:dyDescent="0.35">
      <c r="A1001" t="s">
        <v>13</v>
      </c>
      <c r="B1001" t="s">
        <v>7</v>
      </c>
      <c r="C1001" t="s">
        <v>11</v>
      </c>
      <c r="H1001">
        <f>IF(B1001="female", 0, 1)</f>
        <v>0</v>
      </c>
      <c r="I1001">
        <f>IF(C1001= "yes", 1, 0)</f>
        <v>0</v>
      </c>
      <c r="J1001">
        <v>36</v>
      </c>
      <c r="K1001">
        <v>26.885000000000002</v>
      </c>
      <c r="L1001">
        <v>0</v>
      </c>
      <c r="M1001">
        <v>5267.8181500000001</v>
      </c>
    </row>
    <row r="1002" spans="1:13" x14ac:dyDescent="0.35">
      <c r="A1002" t="s">
        <v>13</v>
      </c>
      <c r="B1002" t="s">
        <v>10</v>
      </c>
      <c r="C1002" t="s">
        <v>8</v>
      </c>
      <c r="H1002">
        <f>IF(B1002="female", 0, 1)</f>
        <v>1</v>
      </c>
      <c r="I1002">
        <f>IF(C1002= "yes", 1, 0)</f>
        <v>1</v>
      </c>
      <c r="J1002">
        <v>30</v>
      </c>
      <c r="K1002">
        <v>22.99</v>
      </c>
      <c r="L1002">
        <v>2</v>
      </c>
      <c r="M1002">
        <v>17361.766100000001</v>
      </c>
    </row>
    <row r="1003" spans="1:13" x14ac:dyDescent="0.35">
      <c r="A1003" t="s">
        <v>9</v>
      </c>
      <c r="B1003" t="s">
        <v>10</v>
      </c>
      <c r="C1003" t="s">
        <v>8</v>
      </c>
      <c r="H1003">
        <f>IF(B1003="female", 0, 1)</f>
        <v>1</v>
      </c>
      <c r="I1003">
        <f>IF(C1003= "yes", 1, 0)</f>
        <v>1</v>
      </c>
      <c r="J1003">
        <v>24</v>
      </c>
      <c r="K1003">
        <v>32.700000000000003</v>
      </c>
      <c r="L1003">
        <v>0</v>
      </c>
      <c r="M1003">
        <v>34472.841</v>
      </c>
    </row>
    <row r="1004" spans="1:13" x14ac:dyDescent="0.35">
      <c r="A1004" t="s">
        <v>9</v>
      </c>
      <c r="B1004" t="s">
        <v>10</v>
      </c>
      <c r="C1004" t="s">
        <v>11</v>
      </c>
      <c r="H1004">
        <f>IF(B1004="female", 0, 1)</f>
        <v>1</v>
      </c>
      <c r="I1004">
        <f>IF(C1004= "yes", 1, 0)</f>
        <v>0</v>
      </c>
      <c r="J1004">
        <v>24</v>
      </c>
      <c r="K1004">
        <v>25.8</v>
      </c>
      <c r="L1004">
        <v>0</v>
      </c>
      <c r="M1004">
        <v>1972.95</v>
      </c>
    </row>
    <row r="1005" spans="1:13" x14ac:dyDescent="0.35">
      <c r="A1005" t="s">
        <v>9</v>
      </c>
      <c r="B1005" t="s">
        <v>10</v>
      </c>
      <c r="C1005" t="s">
        <v>11</v>
      </c>
      <c r="H1005">
        <f>IF(B1005="female", 0, 1)</f>
        <v>1</v>
      </c>
      <c r="I1005">
        <f>IF(C1005= "yes", 1, 0)</f>
        <v>0</v>
      </c>
      <c r="J1005">
        <v>48</v>
      </c>
      <c r="K1005">
        <v>29.6</v>
      </c>
      <c r="L1005">
        <v>0</v>
      </c>
      <c r="M1005">
        <v>21232.182260000001</v>
      </c>
    </row>
    <row r="1006" spans="1:13" x14ac:dyDescent="0.35">
      <c r="A1006" t="s">
        <v>14</v>
      </c>
      <c r="B1006" t="s">
        <v>10</v>
      </c>
      <c r="C1006" t="s">
        <v>11</v>
      </c>
      <c r="H1006">
        <f>IF(B1006="female", 0, 1)</f>
        <v>1</v>
      </c>
      <c r="I1006">
        <f>IF(C1006= "yes", 1, 0)</f>
        <v>0</v>
      </c>
      <c r="J1006">
        <v>47</v>
      </c>
      <c r="K1006">
        <v>19.190000000000001</v>
      </c>
      <c r="L1006">
        <v>1</v>
      </c>
      <c r="M1006">
        <v>8627.5411000000004</v>
      </c>
    </row>
    <row r="1007" spans="1:13" x14ac:dyDescent="0.35">
      <c r="A1007" t="s">
        <v>13</v>
      </c>
      <c r="B1007" t="s">
        <v>10</v>
      </c>
      <c r="C1007" t="s">
        <v>11</v>
      </c>
      <c r="H1007">
        <f>IF(B1007="female", 0, 1)</f>
        <v>1</v>
      </c>
      <c r="I1007">
        <f>IF(C1007= "yes", 1, 0)</f>
        <v>0</v>
      </c>
      <c r="J1007">
        <v>29</v>
      </c>
      <c r="K1007">
        <v>31.73</v>
      </c>
      <c r="L1007">
        <v>2</v>
      </c>
      <c r="M1007">
        <v>4433.3877000000002</v>
      </c>
    </row>
    <row r="1008" spans="1:13" x14ac:dyDescent="0.35">
      <c r="A1008" t="s">
        <v>14</v>
      </c>
      <c r="B1008" t="s">
        <v>10</v>
      </c>
      <c r="C1008" t="s">
        <v>11</v>
      </c>
      <c r="H1008">
        <f>IF(B1008="female", 0, 1)</f>
        <v>1</v>
      </c>
      <c r="I1008">
        <f>IF(C1008= "yes", 1, 0)</f>
        <v>0</v>
      </c>
      <c r="J1008">
        <v>28</v>
      </c>
      <c r="K1008">
        <v>29.26</v>
      </c>
      <c r="L1008">
        <v>2</v>
      </c>
      <c r="M1008">
        <v>4438.2633999999998</v>
      </c>
    </row>
    <row r="1009" spans="1:13" x14ac:dyDescent="0.35">
      <c r="A1009" t="s">
        <v>13</v>
      </c>
      <c r="B1009" t="s">
        <v>10</v>
      </c>
      <c r="C1009" t="s">
        <v>8</v>
      </c>
      <c r="H1009">
        <f>IF(B1009="female", 0, 1)</f>
        <v>1</v>
      </c>
      <c r="I1009">
        <f>IF(C1009= "yes", 1, 0)</f>
        <v>1</v>
      </c>
      <c r="J1009">
        <v>47</v>
      </c>
      <c r="K1009">
        <v>28.215</v>
      </c>
      <c r="L1009">
        <v>3</v>
      </c>
      <c r="M1009">
        <v>24915.220850000002</v>
      </c>
    </row>
    <row r="1010" spans="1:13" x14ac:dyDescent="0.35">
      <c r="A1010" t="s">
        <v>14</v>
      </c>
      <c r="B1010" t="s">
        <v>10</v>
      </c>
      <c r="C1010" t="s">
        <v>11</v>
      </c>
      <c r="H1010">
        <f>IF(B1010="female", 0, 1)</f>
        <v>1</v>
      </c>
      <c r="I1010">
        <f>IF(C1010= "yes", 1, 0)</f>
        <v>0</v>
      </c>
      <c r="J1010">
        <v>25</v>
      </c>
      <c r="K1010">
        <v>24.984999999999999</v>
      </c>
      <c r="L1010">
        <v>2</v>
      </c>
      <c r="M1010">
        <v>23241.47453</v>
      </c>
    </row>
    <row r="1011" spans="1:13" x14ac:dyDescent="0.35">
      <c r="A1011" t="s">
        <v>14</v>
      </c>
      <c r="B1011" t="s">
        <v>10</v>
      </c>
      <c r="C1011" t="s">
        <v>11</v>
      </c>
      <c r="H1011">
        <f>IF(B1011="female", 0, 1)</f>
        <v>1</v>
      </c>
      <c r="I1011">
        <f>IF(C1011= "yes", 1, 0)</f>
        <v>0</v>
      </c>
      <c r="J1011">
        <v>51</v>
      </c>
      <c r="K1011">
        <v>27.74</v>
      </c>
      <c r="L1011">
        <v>1</v>
      </c>
      <c r="M1011">
        <v>9957.7216000000008</v>
      </c>
    </row>
    <row r="1012" spans="1:13" x14ac:dyDescent="0.35">
      <c r="A1012" t="s">
        <v>9</v>
      </c>
      <c r="B1012" t="s">
        <v>7</v>
      </c>
      <c r="C1012" t="s">
        <v>11</v>
      </c>
      <c r="H1012">
        <f>IF(B1012="female", 0, 1)</f>
        <v>0</v>
      </c>
      <c r="I1012">
        <f>IF(C1012= "yes", 1, 0)</f>
        <v>0</v>
      </c>
      <c r="J1012">
        <v>48</v>
      </c>
      <c r="K1012">
        <v>22.8</v>
      </c>
      <c r="L1012">
        <v>0</v>
      </c>
      <c r="M1012">
        <v>8269.0439999999999</v>
      </c>
    </row>
    <row r="1013" spans="1:13" x14ac:dyDescent="0.35">
      <c r="A1013" t="s">
        <v>12</v>
      </c>
      <c r="B1013" t="s">
        <v>10</v>
      </c>
      <c r="C1013" t="s">
        <v>8</v>
      </c>
      <c r="H1013">
        <f>IF(B1013="female", 0, 1)</f>
        <v>1</v>
      </c>
      <c r="I1013">
        <f>IF(C1013= "yes", 1, 0)</f>
        <v>1</v>
      </c>
      <c r="J1013">
        <v>43</v>
      </c>
      <c r="K1013">
        <v>20.13</v>
      </c>
      <c r="L1013">
        <v>2</v>
      </c>
      <c r="M1013">
        <v>18767.737700000001</v>
      </c>
    </row>
    <row r="1014" spans="1:13" x14ac:dyDescent="0.35">
      <c r="A1014" t="s">
        <v>12</v>
      </c>
      <c r="B1014" t="s">
        <v>7</v>
      </c>
      <c r="C1014" t="s">
        <v>11</v>
      </c>
      <c r="H1014">
        <f>IF(B1014="female", 0, 1)</f>
        <v>0</v>
      </c>
      <c r="I1014">
        <f>IF(C1014= "yes", 1, 0)</f>
        <v>0</v>
      </c>
      <c r="J1014">
        <v>61</v>
      </c>
      <c r="K1014">
        <v>33.33</v>
      </c>
      <c r="L1014">
        <v>4</v>
      </c>
      <c r="M1014">
        <v>36580.282160000002</v>
      </c>
    </row>
    <row r="1015" spans="1:13" x14ac:dyDescent="0.35">
      <c r="A1015" t="s">
        <v>13</v>
      </c>
      <c r="B1015" t="s">
        <v>10</v>
      </c>
      <c r="C1015" t="s">
        <v>11</v>
      </c>
      <c r="H1015">
        <f>IF(B1015="female", 0, 1)</f>
        <v>1</v>
      </c>
      <c r="I1015">
        <f>IF(C1015= "yes", 1, 0)</f>
        <v>0</v>
      </c>
      <c r="J1015">
        <v>48</v>
      </c>
      <c r="K1015">
        <v>32.299999999999997</v>
      </c>
      <c r="L1015">
        <v>1</v>
      </c>
      <c r="M1015">
        <v>8765.2489999999998</v>
      </c>
    </row>
    <row r="1016" spans="1:13" x14ac:dyDescent="0.35">
      <c r="A1016" t="s">
        <v>9</v>
      </c>
      <c r="B1016" t="s">
        <v>7</v>
      </c>
      <c r="C1016" t="s">
        <v>11</v>
      </c>
      <c r="H1016">
        <f>IF(B1016="female", 0, 1)</f>
        <v>0</v>
      </c>
      <c r="I1016">
        <f>IF(C1016= "yes", 1, 0)</f>
        <v>0</v>
      </c>
      <c r="J1016">
        <v>38</v>
      </c>
      <c r="K1016">
        <v>27.6</v>
      </c>
      <c r="L1016">
        <v>0</v>
      </c>
      <c r="M1016">
        <v>5383.5360000000001</v>
      </c>
    </row>
    <row r="1017" spans="1:13" x14ac:dyDescent="0.35">
      <c r="A1017" t="s">
        <v>13</v>
      </c>
      <c r="B1017" t="s">
        <v>10</v>
      </c>
      <c r="C1017" t="s">
        <v>11</v>
      </c>
      <c r="H1017">
        <f>IF(B1017="female", 0, 1)</f>
        <v>1</v>
      </c>
      <c r="I1017">
        <f>IF(C1017= "yes", 1, 0)</f>
        <v>0</v>
      </c>
      <c r="J1017">
        <v>59</v>
      </c>
      <c r="K1017">
        <v>25.46</v>
      </c>
      <c r="L1017">
        <v>0</v>
      </c>
      <c r="M1017">
        <v>12124.992399999999</v>
      </c>
    </row>
    <row r="1018" spans="1:13" x14ac:dyDescent="0.35">
      <c r="A1018" t="s">
        <v>13</v>
      </c>
      <c r="B1018" t="s">
        <v>7</v>
      </c>
      <c r="C1018" t="s">
        <v>11</v>
      </c>
      <c r="H1018">
        <f>IF(B1018="female", 0, 1)</f>
        <v>0</v>
      </c>
      <c r="I1018">
        <f>IF(C1018= "yes", 1, 0)</f>
        <v>0</v>
      </c>
      <c r="J1018">
        <v>19</v>
      </c>
      <c r="K1018">
        <v>24.605</v>
      </c>
      <c r="L1018">
        <v>1</v>
      </c>
      <c r="M1018">
        <v>2709.24395</v>
      </c>
    </row>
    <row r="1019" spans="1:13" x14ac:dyDescent="0.35">
      <c r="A1019" t="s">
        <v>9</v>
      </c>
      <c r="B1019" t="s">
        <v>7</v>
      </c>
      <c r="C1019" t="s">
        <v>11</v>
      </c>
      <c r="H1019">
        <f>IF(B1019="female", 0, 1)</f>
        <v>0</v>
      </c>
      <c r="I1019">
        <f>IF(C1019= "yes", 1, 0)</f>
        <v>0</v>
      </c>
      <c r="J1019">
        <v>26</v>
      </c>
      <c r="K1019">
        <v>34.200000000000003</v>
      </c>
      <c r="L1019">
        <v>2</v>
      </c>
      <c r="M1019">
        <v>3987.9259999999999</v>
      </c>
    </row>
    <row r="1020" spans="1:13" x14ac:dyDescent="0.35">
      <c r="A1020" t="s">
        <v>13</v>
      </c>
      <c r="B1020" t="s">
        <v>7</v>
      </c>
      <c r="C1020" t="s">
        <v>11</v>
      </c>
      <c r="H1020">
        <f>IF(B1020="female", 0, 1)</f>
        <v>0</v>
      </c>
      <c r="I1020">
        <f>IF(C1020= "yes", 1, 0)</f>
        <v>0</v>
      </c>
      <c r="J1020">
        <v>54</v>
      </c>
      <c r="K1020">
        <v>35.814999999999998</v>
      </c>
      <c r="L1020">
        <v>3</v>
      </c>
      <c r="M1020">
        <v>12495.290849999999</v>
      </c>
    </row>
    <row r="1021" spans="1:13" x14ac:dyDescent="0.35">
      <c r="A1021" t="s">
        <v>13</v>
      </c>
      <c r="B1021" t="s">
        <v>7</v>
      </c>
      <c r="C1021" t="s">
        <v>11</v>
      </c>
      <c r="H1021">
        <f>IF(B1021="female", 0, 1)</f>
        <v>0</v>
      </c>
      <c r="I1021">
        <f>IF(C1021= "yes", 1, 0)</f>
        <v>0</v>
      </c>
      <c r="J1021">
        <v>21</v>
      </c>
      <c r="K1021">
        <v>32.68</v>
      </c>
      <c r="L1021">
        <v>2</v>
      </c>
      <c r="M1021">
        <v>26018.950519999999</v>
      </c>
    </row>
    <row r="1022" spans="1:13" x14ac:dyDescent="0.35">
      <c r="A1022" t="s">
        <v>9</v>
      </c>
      <c r="B1022" t="s">
        <v>10</v>
      </c>
      <c r="C1022" t="s">
        <v>11</v>
      </c>
      <c r="H1022">
        <f>IF(B1022="female", 0, 1)</f>
        <v>1</v>
      </c>
      <c r="I1022">
        <f>IF(C1022= "yes", 1, 0)</f>
        <v>0</v>
      </c>
      <c r="J1022">
        <v>51</v>
      </c>
      <c r="K1022">
        <v>37</v>
      </c>
      <c r="L1022">
        <v>0</v>
      </c>
      <c r="M1022">
        <v>8798.5930000000008</v>
      </c>
    </row>
    <row r="1023" spans="1:13" x14ac:dyDescent="0.35">
      <c r="A1023" t="s">
        <v>12</v>
      </c>
      <c r="B1023" t="s">
        <v>7</v>
      </c>
      <c r="C1023" t="s">
        <v>8</v>
      </c>
      <c r="H1023">
        <f>IF(B1023="female", 0, 1)</f>
        <v>0</v>
      </c>
      <c r="I1023">
        <f>IF(C1023= "yes", 1, 0)</f>
        <v>1</v>
      </c>
      <c r="J1023">
        <v>22</v>
      </c>
      <c r="K1023">
        <v>31.02</v>
      </c>
      <c r="L1023">
        <v>3</v>
      </c>
      <c r="M1023">
        <v>35595.589800000002</v>
      </c>
    </row>
    <row r="1024" spans="1:13" x14ac:dyDescent="0.35">
      <c r="A1024" t="s">
        <v>12</v>
      </c>
      <c r="B1024" t="s">
        <v>10</v>
      </c>
      <c r="C1024" t="s">
        <v>8</v>
      </c>
      <c r="H1024">
        <f>IF(B1024="female", 0, 1)</f>
        <v>1</v>
      </c>
      <c r="I1024">
        <f>IF(C1024= "yes", 1, 0)</f>
        <v>1</v>
      </c>
      <c r="J1024">
        <v>47</v>
      </c>
      <c r="K1024">
        <v>36.08</v>
      </c>
      <c r="L1024">
        <v>1</v>
      </c>
      <c r="M1024">
        <v>42211.138200000001</v>
      </c>
    </row>
    <row r="1025" spans="1:13" x14ac:dyDescent="0.35">
      <c r="A1025" t="s">
        <v>12</v>
      </c>
      <c r="B1025" t="s">
        <v>10</v>
      </c>
      <c r="C1025" t="s">
        <v>11</v>
      </c>
      <c r="H1025">
        <f>IF(B1025="female", 0, 1)</f>
        <v>1</v>
      </c>
      <c r="I1025">
        <f>IF(C1025= "yes", 1, 0)</f>
        <v>0</v>
      </c>
      <c r="J1025">
        <v>18</v>
      </c>
      <c r="K1025">
        <v>23.32</v>
      </c>
      <c r="L1025">
        <v>1</v>
      </c>
      <c r="M1025">
        <v>1711.0268000000001</v>
      </c>
    </row>
    <row r="1026" spans="1:13" x14ac:dyDescent="0.35">
      <c r="A1026" t="s">
        <v>12</v>
      </c>
      <c r="B1026" t="s">
        <v>7</v>
      </c>
      <c r="C1026" t="s">
        <v>11</v>
      </c>
      <c r="H1026">
        <f>IF(B1026="female", 0, 1)</f>
        <v>0</v>
      </c>
      <c r="I1026">
        <f>IF(C1026= "yes", 1, 0)</f>
        <v>0</v>
      </c>
      <c r="J1026">
        <v>47</v>
      </c>
      <c r="K1026">
        <v>45.32</v>
      </c>
      <c r="L1026">
        <v>1</v>
      </c>
      <c r="M1026">
        <v>8569.8618000000006</v>
      </c>
    </row>
    <row r="1027" spans="1:13" x14ac:dyDescent="0.35">
      <c r="A1027" t="s">
        <v>9</v>
      </c>
      <c r="B1027" t="s">
        <v>7</v>
      </c>
      <c r="C1027" t="s">
        <v>11</v>
      </c>
      <c r="H1027">
        <f>IF(B1027="female", 0, 1)</f>
        <v>0</v>
      </c>
      <c r="I1027">
        <f>IF(C1027= "yes", 1, 0)</f>
        <v>0</v>
      </c>
      <c r="J1027">
        <v>21</v>
      </c>
      <c r="K1027">
        <v>34.6</v>
      </c>
      <c r="L1027">
        <v>0</v>
      </c>
      <c r="M1027">
        <v>2020.1769999999999</v>
      </c>
    </row>
    <row r="1028" spans="1:13" x14ac:dyDescent="0.35">
      <c r="A1028" t="s">
        <v>13</v>
      </c>
      <c r="B1028" t="s">
        <v>10</v>
      </c>
      <c r="C1028" t="s">
        <v>8</v>
      </c>
      <c r="H1028">
        <f>IF(B1028="female", 0, 1)</f>
        <v>1</v>
      </c>
      <c r="I1028">
        <f>IF(C1028= "yes", 1, 0)</f>
        <v>1</v>
      </c>
      <c r="J1028">
        <v>19</v>
      </c>
      <c r="K1028">
        <v>26.03</v>
      </c>
      <c r="L1028">
        <v>1</v>
      </c>
      <c r="M1028">
        <v>16450.894700000001</v>
      </c>
    </row>
    <row r="1029" spans="1:13" x14ac:dyDescent="0.35">
      <c r="A1029" t="s">
        <v>13</v>
      </c>
      <c r="B1029" t="s">
        <v>10</v>
      </c>
      <c r="C1029" t="s">
        <v>11</v>
      </c>
      <c r="H1029">
        <f>IF(B1029="female", 0, 1)</f>
        <v>1</v>
      </c>
      <c r="I1029">
        <f>IF(C1029= "yes", 1, 0)</f>
        <v>0</v>
      </c>
      <c r="J1029">
        <v>23</v>
      </c>
      <c r="K1029">
        <v>18.715</v>
      </c>
      <c r="L1029">
        <v>0</v>
      </c>
      <c r="M1029">
        <v>21595.382290000001</v>
      </c>
    </row>
    <row r="1030" spans="1:13" x14ac:dyDescent="0.35">
      <c r="A1030" t="s">
        <v>9</v>
      </c>
      <c r="B1030" t="s">
        <v>10</v>
      </c>
      <c r="C1030" t="s">
        <v>11</v>
      </c>
      <c r="H1030">
        <f>IF(B1030="female", 0, 1)</f>
        <v>1</v>
      </c>
      <c r="I1030">
        <f>IF(C1030= "yes", 1, 0)</f>
        <v>0</v>
      </c>
      <c r="J1030">
        <v>54</v>
      </c>
      <c r="K1030">
        <v>31.6</v>
      </c>
      <c r="L1030">
        <v>0</v>
      </c>
      <c r="M1030">
        <v>9850.4320000000007</v>
      </c>
    </row>
    <row r="1031" spans="1:13" x14ac:dyDescent="0.35">
      <c r="A1031" t="s">
        <v>14</v>
      </c>
      <c r="B1031" t="s">
        <v>7</v>
      </c>
      <c r="C1031" t="s">
        <v>11</v>
      </c>
      <c r="H1031">
        <f>IF(B1031="female", 0, 1)</f>
        <v>0</v>
      </c>
      <c r="I1031">
        <f>IF(C1031= "yes", 1, 0)</f>
        <v>0</v>
      </c>
      <c r="J1031">
        <v>37</v>
      </c>
      <c r="K1031">
        <v>17.29</v>
      </c>
      <c r="L1031">
        <v>2</v>
      </c>
      <c r="M1031">
        <v>6877.9800999999998</v>
      </c>
    </row>
    <row r="1032" spans="1:13" x14ac:dyDescent="0.35">
      <c r="A1032" t="s">
        <v>13</v>
      </c>
      <c r="B1032" t="s">
        <v>7</v>
      </c>
      <c r="C1032" t="s">
        <v>8</v>
      </c>
      <c r="H1032">
        <f>IF(B1032="female", 0, 1)</f>
        <v>0</v>
      </c>
      <c r="I1032">
        <f>IF(C1032= "yes", 1, 0)</f>
        <v>1</v>
      </c>
      <c r="J1032">
        <v>46</v>
      </c>
      <c r="K1032">
        <v>23.655000000000001</v>
      </c>
      <c r="L1032">
        <v>1</v>
      </c>
      <c r="M1032">
        <v>21677.283449999999</v>
      </c>
    </row>
    <row r="1033" spans="1:13" x14ac:dyDescent="0.35">
      <c r="A1033" t="s">
        <v>12</v>
      </c>
      <c r="B1033" t="s">
        <v>7</v>
      </c>
      <c r="C1033" t="s">
        <v>8</v>
      </c>
      <c r="H1033">
        <f>IF(B1033="female", 0, 1)</f>
        <v>0</v>
      </c>
      <c r="I1033">
        <f>IF(C1033= "yes", 1, 0)</f>
        <v>1</v>
      </c>
      <c r="J1033">
        <v>55</v>
      </c>
      <c r="K1033">
        <v>35.200000000000003</v>
      </c>
      <c r="L1033">
        <v>0</v>
      </c>
      <c r="M1033">
        <v>44423.803</v>
      </c>
    </row>
    <row r="1034" spans="1:13" x14ac:dyDescent="0.35">
      <c r="A1034" t="s">
        <v>14</v>
      </c>
      <c r="B1034" t="s">
        <v>7</v>
      </c>
      <c r="C1034" t="s">
        <v>11</v>
      </c>
      <c r="H1034">
        <f>IF(B1034="female", 0, 1)</f>
        <v>0</v>
      </c>
      <c r="I1034">
        <f>IF(C1034= "yes", 1, 0)</f>
        <v>0</v>
      </c>
      <c r="J1034">
        <v>30</v>
      </c>
      <c r="K1034">
        <v>27.93</v>
      </c>
      <c r="L1034">
        <v>0</v>
      </c>
      <c r="M1034">
        <v>4137.5227000000004</v>
      </c>
    </row>
    <row r="1035" spans="1:13" x14ac:dyDescent="0.35">
      <c r="A1035" t="s">
        <v>14</v>
      </c>
      <c r="B1035" t="s">
        <v>10</v>
      </c>
      <c r="C1035" t="s">
        <v>8</v>
      </c>
      <c r="H1035">
        <f>IF(B1035="female", 0, 1)</f>
        <v>1</v>
      </c>
      <c r="I1035">
        <f>IF(C1035= "yes", 1, 0)</f>
        <v>1</v>
      </c>
      <c r="J1035">
        <v>18</v>
      </c>
      <c r="K1035">
        <v>21.565000000000001</v>
      </c>
      <c r="L1035">
        <v>0</v>
      </c>
      <c r="M1035">
        <v>13747.87235</v>
      </c>
    </row>
    <row r="1036" spans="1:13" x14ac:dyDescent="0.35">
      <c r="A1036" t="s">
        <v>13</v>
      </c>
      <c r="B1036" t="s">
        <v>10</v>
      </c>
      <c r="C1036" t="s">
        <v>11</v>
      </c>
      <c r="H1036">
        <f>IF(B1036="female", 0, 1)</f>
        <v>1</v>
      </c>
      <c r="I1036">
        <f>IF(C1036= "yes", 1, 0)</f>
        <v>0</v>
      </c>
      <c r="J1036">
        <v>61</v>
      </c>
      <c r="K1036">
        <v>38.380000000000003</v>
      </c>
      <c r="L1036">
        <v>0</v>
      </c>
      <c r="M1036">
        <v>12950.0712</v>
      </c>
    </row>
    <row r="1037" spans="1:13" x14ac:dyDescent="0.35">
      <c r="A1037" t="s">
        <v>9</v>
      </c>
      <c r="B1037" t="s">
        <v>7</v>
      </c>
      <c r="C1037" t="s">
        <v>11</v>
      </c>
      <c r="H1037">
        <f>IF(B1037="female", 0, 1)</f>
        <v>0</v>
      </c>
      <c r="I1037">
        <f>IF(C1037= "yes", 1, 0)</f>
        <v>0</v>
      </c>
      <c r="J1037">
        <v>54</v>
      </c>
      <c r="K1037">
        <v>23</v>
      </c>
      <c r="L1037">
        <v>3</v>
      </c>
      <c r="M1037">
        <v>12094.477999999999</v>
      </c>
    </row>
    <row r="1038" spans="1:13" x14ac:dyDescent="0.35">
      <c r="A1038" t="s">
        <v>12</v>
      </c>
      <c r="B1038" t="s">
        <v>10</v>
      </c>
      <c r="C1038" t="s">
        <v>8</v>
      </c>
      <c r="H1038">
        <f>IF(B1038="female", 0, 1)</f>
        <v>1</v>
      </c>
      <c r="I1038">
        <f>IF(C1038= "yes", 1, 0)</f>
        <v>1</v>
      </c>
      <c r="J1038">
        <v>22</v>
      </c>
      <c r="K1038">
        <v>37.07</v>
      </c>
      <c r="L1038">
        <v>2</v>
      </c>
      <c r="M1038">
        <v>37484.4493</v>
      </c>
    </row>
    <row r="1039" spans="1:13" x14ac:dyDescent="0.35">
      <c r="A1039" t="s">
        <v>13</v>
      </c>
      <c r="B1039" t="s">
        <v>7</v>
      </c>
      <c r="C1039" t="s">
        <v>8</v>
      </c>
      <c r="H1039">
        <f>IF(B1039="female", 0, 1)</f>
        <v>0</v>
      </c>
      <c r="I1039">
        <f>IF(C1039= "yes", 1, 0)</f>
        <v>1</v>
      </c>
      <c r="J1039">
        <v>45</v>
      </c>
      <c r="K1039">
        <v>30.495000000000001</v>
      </c>
      <c r="L1039">
        <v>1</v>
      </c>
      <c r="M1039">
        <v>39725.518049999999</v>
      </c>
    </row>
    <row r="1040" spans="1:13" x14ac:dyDescent="0.35">
      <c r="A1040" t="s">
        <v>14</v>
      </c>
      <c r="B1040" t="s">
        <v>10</v>
      </c>
      <c r="C1040" t="s">
        <v>11</v>
      </c>
      <c r="H1040">
        <f>IF(B1040="female", 0, 1)</f>
        <v>1</v>
      </c>
      <c r="I1040">
        <f>IF(C1040= "yes", 1, 0)</f>
        <v>0</v>
      </c>
      <c r="J1040">
        <v>22</v>
      </c>
      <c r="K1040">
        <v>28.88</v>
      </c>
      <c r="L1040">
        <v>0</v>
      </c>
      <c r="M1040">
        <v>2250.8352</v>
      </c>
    </row>
    <row r="1041" spans="1:13" x14ac:dyDescent="0.35">
      <c r="A1041" t="s">
        <v>13</v>
      </c>
      <c r="B1041" t="s">
        <v>10</v>
      </c>
      <c r="C1041" t="s">
        <v>11</v>
      </c>
      <c r="H1041">
        <f>IF(B1041="female", 0, 1)</f>
        <v>1</v>
      </c>
      <c r="I1041">
        <f>IF(C1041= "yes", 1, 0)</f>
        <v>0</v>
      </c>
      <c r="J1041">
        <v>19</v>
      </c>
      <c r="K1041">
        <v>27.265000000000001</v>
      </c>
      <c r="L1041">
        <v>2</v>
      </c>
      <c r="M1041">
        <v>22493.659640000002</v>
      </c>
    </row>
    <row r="1042" spans="1:13" x14ac:dyDescent="0.35">
      <c r="A1042" t="s">
        <v>13</v>
      </c>
      <c r="B1042" t="s">
        <v>7</v>
      </c>
      <c r="C1042" t="s">
        <v>8</v>
      </c>
      <c r="H1042">
        <f>IF(B1042="female", 0, 1)</f>
        <v>0</v>
      </c>
      <c r="I1042">
        <f>IF(C1042= "yes", 1, 0)</f>
        <v>1</v>
      </c>
      <c r="J1042">
        <v>35</v>
      </c>
      <c r="K1042">
        <v>28.024999999999999</v>
      </c>
      <c r="L1042">
        <v>0</v>
      </c>
      <c r="M1042">
        <v>20234.854749999999</v>
      </c>
    </row>
    <row r="1043" spans="1:13" x14ac:dyDescent="0.35">
      <c r="A1043" t="s">
        <v>14</v>
      </c>
      <c r="B1043" t="s">
        <v>10</v>
      </c>
      <c r="C1043" t="s">
        <v>11</v>
      </c>
      <c r="H1043">
        <f>IF(B1043="female", 0, 1)</f>
        <v>1</v>
      </c>
      <c r="I1043">
        <f>IF(C1043= "yes", 1, 0)</f>
        <v>0</v>
      </c>
      <c r="J1043">
        <v>18</v>
      </c>
      <c r="K1043">
        <v>23.085000000000001</v>
      </c>
      <c r="L1043">
        <v>0</v>
      </c>
      <c r="M1043">
        <v>1704.7001499999999</v>
      </c>
    </row>
    <row r="1044" spans="1:13" x14ac:dyDescent="0.35">
      <c r="A1044" t="s">
        <v>14</v>
      </c>
      <c r="B1044" t="s">
        <v>10</v>
      </c>
      <c r="C1044" t="s">
        <v>8</v>
      </c>
      <c r="H1044">
        <f>IF(B1044="female", 0, 1)</f>
        <v>1</v>
      </c>
      <c r="I1044">
        <f>IF(C1044= "yes", 1, 0)</f>
        <v>1</v>
      </c>
      <c r="J1044">
        <v>20</v>
      </c>
      <c r="K1044">
        <v>30.684999999999999</v>
      </c>
      <c r="L1044">
        <v>0</v>
      </c>
      <c r="M1044">
        <v>33475.817150000003</v>
      </c>
    </row>
    <row r="1045" spans="1:13" x14ac:dyDescent="0.35">
      <c r="A1045" t="s">
        <v>9</v>
      </c>
      <c r="B1045" t="s">
        <v>7</v>
      </c>
      <c r="C1045" t="s">
        <v>11</v>
      </c>
      <c r="H1045">
        <f>IF(B1045="female", 0, 1)</f>
        <v>0</v>
      </c>
      <c r="I1045">
        <f>IF(C1045= "yes", 1, 0)</f>
        <v>0</v>
      </c>
      <c r="J1045">
        <v>28</v>
      </c>
      <c r="K1045">
        <v>25.8</v>
      </c>
      <c r="L1045">
        <v>0</v>
      </c>
      <c r="M1045">
        <v>3161.4540000000002</v>
      </c>
    </row>
    <row r="1046" spans="1:13" x14ac:dyDescent="0.35">
      <c r="A1046" t="s">
        <v>14</v>
      </c>
      <c r="B1046" t="s">
        <v>10</v>
      </c>
      <c r="C1046" t="s">
        <v>11</v>
      </c>
      <c r="H1046">
        <f>IF(B1046="female", 0, 1)</f>
        <v>1</v>
      </c>
      <c r="I1046">
        <f>IF(C1046= "yes", 1, 0)</f>
        <v>0</v>
      </c>
      <c r="J1046">
        <v>55</v>
      </c>
      <c r="K1046">
        <v>35.244999999999997</v>
      </c>
      <c r="L1046">
        <v>1</v>
      </c>
      <c r="M1046">
        <v>11394.065549999999</v>
      </c>
    </row>
    <row r="1047" spans="1:13" x14ac:dyDescent="0.35">
      <c r="A1047" t="s">
        <v>13</v>
      </c>
      <c r="B1047" t="s">
        <v>7</v>
      </c>
      <c r="C1047" t="s">
        <v>8</v>
      </c>
      <c r="H1047">
        <f>IF(B1047="female", 0, 1)</f>
        <v>0</v>
      </c>
      <c r="I1047">
        <f>IF(C1047= "yes", 1, 0)</f>
        <v>1</v>
      </c>
      <c r="J1047">
        <v>43</v>
      </c>
      <c r="K1047">
        <v>24.7</v>
      </c>
      <c r="L1047">
        <v>2</v>
      </c>
      <c r="M1047">
        <v>21880.82</v>
      </c>
    </row>
    <row r="1048" spans="1:13" x14ac:dyDescent="0.35">
      <c r="A1048" t="s">
        <v>14</v>
      </c>
      <c r="B1048" t="s">
        <v>7</v>
      </c>
      <c r="C1048" t="s">
        <v>11</v>
      </c>
      <c r="H1048">
        <f>IF(B1048="female", 0, 1)</f>
        <v>0</v>
      </c>
      <c r="I1048">
        <f>IF(C1048= "yes", 1, 0)</f>
        <v>0</v>
      </c>
      <c r="J1048">
        <v>43</v>
      </c>
      <c r="K1048">
        <v>25.08</v>
      </c>
      <c r="L1048">
        <v>0</v>
      </c>
      <c r="M1048">
        <v>7325.0482000000002</v>
      </c>
    </row>
    <row r="1049" spans="1:13" x14ac:dyDescent="0.35">
      <c r="A1049" t="s">
        <v>12</v>
      </c>
      <c r="B1049" t="s">
        <v>10</v>
      </c>
      <c r="C1049" t="s">
        <v>8</v>
      </c>
      <c r="H1049">
        <f>IF(B1049="female", 0, 1)</f>
        <v>1</v>
      </c>
      <c r="I1049">
        <f>IF(C1049= "yes", 1, 0)</f>
        <v>1</v>
      </c>
      <c r="J1049">
        <v>22</v>
      </c>
      <c r="K1049">
        <v>52.58</v>
      </c>
      <c r="L1049">
        <v>1</v>
      </c>
      <c r="M1049">
        <v>44501.398200000003</v>
      </c>
    </row>
    <row r="1050" spans="1:13" x14ac:dyDescent="0.35">
      <c r="A1050" t="s">
        <v>13</v>
      </c>
      <c r="B1050" t="s">
        <v>7</v>
      </c>
      <c r="C1050" t="s">
        <v>11</v>
      </c>
      <c r="H1050">
        <f>IF(B1050="female", 0, 1)</f>
        <v>0</v>
      </c>
      <c r="I1050">
        <f>IF(C1050= "yes", 1, 0)</f>
        <v>0</v>
      </c>
      <c r="J1050">
        <v>25</v>
      </c>
      <c r="K1050">
        <v>22.515000000000001</v>
      </c>
      <c r="L1050">
        <v>1</v>
      </c>
      <c r="M1050">
        <v>3594.17085</v>
      </c>
    </row>
    <row r="1051" spans="1:13" x14ac:dyDescent="0.35">
      <c r="A1051" t="s">
        <v>9</v>
      </c>
      <c r="B1051" t="s">
        <v>10</v>
      </c>
      <c r="C1051" t="s">
        <v>8</v>
      </c>
      <c r="H1051">
        <f>IF(B1051="female", 0, 1)</f>
        <v>1</v>
      </c>
      <c r="I1051">
        <f>IF(C1051= "yes", 1, 0)</f>
        <v>1</v>
      </c>
      <c r="J1051">
        <v>49</v>
      </c>
      <c r="K1051">
        <v>30.9</v>
      </c>
      <c r="L1051">
        <v>0</v>
      </c>
      <c r="M1051">
        <v>39727.614000000001</v>
      </c>
    </row>
    <row r="1052" spans="1:13" x14ac:dyDescent="0.35">
      <c r="A1052" t="s">
        <v>13</v>
      </c>
      <c r="B1052" t="s">
        <v>7</v>
      </c>
      <c r="C1052" t="s">
        <v>11</v>
      </c>
      <c r="H1052">
        <f>IF(B1052="female", 0, 1)</f>
        <v>0</v>
      </c>
      <c r="I1052">
        <f>IF(C1052= "yes", 1, 0)</f>
        <v>0</v>
      </c>
      <c r="J1052">
        <v>44</v>
      </c>
      <c r="K1052">
        <v>36.954999999999998</v>
      </c>
      <c r="L1052">
        <v>1</v>
      </c>
      <c r="M1052">
        <v>8023.1354499999998</v>
      </c>
    </row>
    <row r="1053" spans="1:13" x14ac:dyDescent="0.35">
      <c r="A1053" t="s">
        <v>14</v>
      </c>
      <c r="B1053" t="s">
        <v>10</v>
      </c>
      <c r="C1053" t="s">
        <v>11</v>
      </c>
      <c r="H1053">
        <f>IF(B1053="female", 0, 1)</f>
        <v>1</v>
      </c>
      <c r="I1053">
        <f>IF(C1053= "yes", 1, 0)</f>
        <v>0</v>
      </c>
      <c r="J1053">
        <v>64</v>
      </c>
      <c r="K1053">
        <v>26.41</v>
      </c>
      <c r="L1053">
        <v>0</v>
      </c>
      <c r="M1053">
        <v>14394.5579</v>
      </c>
    </row>
    <row r="1054" spans="1:13" x14ac:dyDescent="0.35">
      <c r="A1054" t="s">
        <v>14</v>
      </c>
      <c r="B1054" t="s">
        <v>10</v>
      </c>
      <c r="C1054" t="s">
        <v>11</v>
      </c>
      <c r="H1054">
        <f>IF(B1054="female", 0, 1)</f>
        <v>1</v>
      </c>
      <c r="I1054">
        <f>IF(C1054= "yes", 1, 0)</f>
        <v>0</v>
      </c>
      <c r="J1054">
        <v>49</v>
      </c>
      <c r="K1054">
        <v>29.83</v>
      </c>
      <c r="L1054">
        <v>1</v>
      </c>
      <c r="M1054">
        <v>9288.0267000000003</v>
      </c>
    </row>
    <row r="1055" spans="1:13" x14ac:dyDescent="0.35">
      <c r="A1055" t="s">
        <v>9</v>
      </c>
      <c r="B1055" t="s">
        <v>10</v>
      </c>
      <c r="C1055" t="s">
        <v>8</v>
      </c>
      <c r="H1055">
        <f>IF(B1055="female", 0, 1)</f>
        <v>1</v>
      </c>
      <c r="I1055">
        <f>IF(C1055= "yes", 1, 0)</f>
        <v>1</v>
      </c>
      <c r="J1055">
        <v>47</v>
      </c>
      <c r="K1055">
        <v>29.8</v>
      </c>
      <c r="L1055">
        <v>3</v>
      </c>
      <c r="M1055">
        <v>25309.489000000001</v>
      </c>
    </row>
    <row r="1056" spans="1:13" x14ac:dyDescent="0.35">
      <c r="A1056" t="s">
        <v>13</v>
      </c>
      <c r="B1056" t="s">
        <v>7</v>
      </c>
      <c r="C1056" t="s">
        <v>11</v>
      </c>
      <c r="H1056">
        <f>IF(B1056="female", 0, 1)</f>
        <v>0</v>
      </c>
      <c r="I1056">
        <f>IF(C1056= "yes", 1, 0)</f>
        <v>0</v>
      </c>
      <c r="J1056">
        <v>27</v>
      </c>
      <c r="K1056">
        <v>21.47</v>
      </c>
      <c r="L1056">
        <v>0</v>
      </c>
      <c r="M1056">
        <v>3353.4703</v>
      </c>
    </row>
    <row r="1057" spans="1:13" x14ac:dyDescent="0.35">
      <c r="A1057" t="s">
        <v>13</v>
      </c>
      <c r="B1057" t="s">
        <v>10</v>
      </c>
      <c r="C1057" t="s">
        <v>11</v>
      </c>
      <c r="H1057">
        <f>IF(B1057="female", 0, 1)</f>
        <v>1</v>
      </c>
      <c r="I1057">
        <f>IF(C1057= "yes", 1, 0)</f>
        <v>0</v>
      </c>
      <c r="J1057">
        <v>55</v>
      </c>
      <c r="K1057">
        <v>27.645</v>
      </c>
      <c r="L1057">
        <v>0</v>
      </c>
      <c r="M1057">
        <v>10594.501550000001</v>
      </c>
    </row>
    <row r="1058" spans="1:13" x14ac:dyDescent="0.35">
      <c r="A1058" t="s">
        <v>9</v>
      </c>
      <c r="B1058" t="s">
        <v>7</v>
      </c>
      <c r="C1058" t="s">
        <v>11</v>
      </c>
      <c r="H1058">
        <f>IF(B1058="female", 0, 1)</f>
        <v>0</v>
      </c>
      <c r="I1058">
        <f>IF(C1058= "yes", 1, 0)</f>
        <v>0</v>
      </c>
      <c r="J1058">
        <v>48</v>
      </c>
      <c r="K1058">
        <v>28.9</v>
      </c>
      <c r="L1058">
        <v>0</v>
      </c>
      <c r="M1058">
        <v>8277.5229999999992</v>
      </c>
    </row>
    <row r="1059" spans="1:13" x14ac:dyDescent="0.35">
      <c r="A1059" t="s">
        <v>12</v>
      </c>
      <c r="B1059" t="s">
        <v>7</v>
      </c>
      <c r="C1059" t="s">
        <v>11</v>
      </c>
      <c r="H1059">
        <f>IF(B1059="female", 0, 1)</f>
        <v>0</v>
      </c>
      <c r="I1059">
        <f>IF(C1059= "yes", 1, 0)</f>
        <v>0</v>
      </c>
      <c r="J1059">
        <v>45</v>
      </c>
      <c r="K1059">
        <v>31.79</v>
      </c>
      <c r="L1059">
        <v>0</v>
      </c>
      <c r="M1059">
        <v>17929.303370000001</v>
      </c>
    </row>
    <row r="1060" spans="1:13" x14ac:dyDescent="0.35">
      <c r="A1060" t="s">
        <v>12</v>
      </c>
      <c r="B1060" t="s">
        <v>7</v>
      </c>
      <c r="C1060" t="s">
        <v>11</v>
      </c>
      <c r="H1060">
        <f>IF(B1060="female", 0, 1)</f>
        <v>0</v>
      </c>
      <c r="I1060">
        <f>IF(C1060= "yes", 1, 0)</f>
        <v>0</v>
      </c>
      <c r="J1060">
        <v>24</v>
      </c>
      <c r="K1060">
        <v>39.49</v>
      </c>
      <c r="L1060">
        <v>0</v>
      </c>
      <c r="M1060">
        <v>2480.9791</v>
      </c>
    </row>
    <row r="1061" spans="1:13" x14ac:dyDescent="0.35">
      <c r="A1061" t="s">
        <v>13</v>
      </c>
      <c r="B1061" t="s">
        <v>10</v>
      </c>
      <c r="C1061" t="s">
        <v>11</v>
      </c>
      <c r="H1061">
        <f>IF(B1061="female", 0, 1)</f>
        <v>1</v>
      </c>
      <c r="I1061">
        <f>IF(C1061= "yes", 1, 0)</f>
        <v>0</v>
      </c>
      <c r="J1061">
        <v>32</v>
      </c>
      <c r="K1061">
        <v>33.82</v>
      </c>
      <c r="L1061">
        <v>1</v>
      </c>
      <c r="M1061">
        <v>4462.7218000000003</v>
      </c>
    </row>
    <row r="1062" spans="1:13" x14ac:dyDescent="0.35">
      <c r="A1062" t="s">
        <v>12</v>
      </c>
      <c r="B1062" t="s">
        <v>10</v>
      </c>
      <c r="C1062" t="s">
        <v>11</v>
      </c>
      <c r="H1062">
        <f>IF(B1062="female", 0, 1)</f>
        <v>1</v>
      </c>
      <c r="I1062">
        <f>IF(C1062= "yes", 1, 0)</f>
        <v>0</v>
      </c>
      <c r="J1062">
        <v>24</v>
      </c>
      <c r="K1062">
        <v>32.01</v>
      </c>
      <c r="L1062">
        <v>0</v>
      </c>
      <c r="M1062">
        <v>1981.5818999999999</v>
      </c>
    </row>
    <row r="1063" spans="1:13" x14ac:dyDescent="0.35">
      <c r="A1063" t="s">
        <v>12</v>
      </c>
      <c r="B1063" t="s">
        <v>10</v>
      </c>
      <c r="C1063" t="s">
        <v>11</v>
      </c>
      <c r="H1063">
        <f>IF(B1063="female", 0, 1)</f>
        <v>1</v>
      </c>
      <c r="I1063">
        <f>IF(C1063= "yes", 1, 0)</f>
        <v>0</v>
      </c>
      <c r="J1063">
        <v>57</v>
      </c>
      <c r="K1063">
        <v>27.94</v>
      </c>
      <c r="L1063">
        <v>1</v>
      </c>
      <c r="M1063">
        <v>11554.223599999999</v>
      </c>
    </row>
    <row r="1064" spans="1:13" x14ac:dyDescent="0.35">
      <c r="A1064" t="s">
        <v>12</v>
      </c>
      <c r="B1064" t="s">
        <v>10</v>
      </c>
      <c r="C1064" t="s">
        <v>8</v>
      </c>
      <c r="H1064">
        <f>IF(B1064="female", 0, 1)</f>
        <v>1</v>
      </c>
      <c r="I1064">
        <f>IF(C1064= "yes", 1, 0)</f>
        <v>1</v>
      </c>
      <c r="J1064">
        <v>59</v>
      </c>
      <c r="K1064">
        <v>41.14</v>
      </c>
      <c r="L1064">
        <v>1</v>
      </c>
      <c r="M1064">
        <v>48970.247600000002</v>
      </c>
    </row>
    <row r="1065" spans="1:13" x14ac:dyDescent="0.35">
      <c r="A1065" t="s">
        <v>13</v>
      </c>
      <c r="B1065" t="s">
        <v>10</v>
      </c>
      <c r="C1065" t="s">
        <v>11</v>
      </c>
      <c r="H1065">
        <f>IF(B1065="female", 0, 1)</f>
        <v>1</v>
      </c>
      <c r="I1065">
        <f>IF(C1065= "yes", 1, 0)</f>
        <v>0</v>
      </c>
      <c r="J1065">
        <v>36</v>
      </c>
      <c r="K1065">
        <v>28.594999999999999</v>
      </c>
      <c r="L1065">
        <v>3</v>
      </c>
      <c r="M1065">
        <v>6548.1950500000003</v>
      </c>
    </row>
    <row r="1066" spans="1:13" x14ac:dyDescent="0.35">
      <c r="A1066" t="s">
        <v>9</v>
      </c>
      <c r="B1066" t="s">
        <v>7</v>
      </c>
      <c r="C1066" t="s">
        <v>11</v>
      </c>
      <c r="H1066">
        <f>IF(B1066="female", 0, 1)</f>
        <v>0</v>
      </c>
      <c r="I1066">
        <f>IF(C1066= "yes", 1, 0)</f>
        <v>0</v>
      </c>
      <c r="J1066">
        <v>29</v>
      </c>
      <c r="K1066">
        <v>25.6</v>
      </c>
      <c r="L1066">
        <v>4</v>
      </c>
      <c r="M1066">
        <v>5708.8670000000002</v>
      </c>
    </row>
    <row r="1067" spans="1:13" x14ac:dyDescent="0.35">
      <c r="A1067" t="s">
        <v>9</v>
      </c>
      <c r="B1067" t="s">
        <v>7</v>
      </c>
      <c r="C1067" t="s">
        <v>11</v>
      </c>
      <c r="H1067">
        <f>IF(B1067="female", 0, 1)</f>
        <v>0</v>
      </c>
      <c r="I1067">
        <f>IF(C1067= "yes", 1, 0)</f>
        <v>0</v>
      </c>
      <c r="J1067">
        <v>42</v>
      </c>
      <c r="K1067">
        <v>25.3</v>
      </c>
      <c r="L1067">
        <v>1</v>
      </c>
      <c r="M1067">
        <v>7045.4989999999998</v>
      </c>
    </row>
    <row r="1068" spans="1:13" x14ac:dyDescent="0.35">
      <c r="A1068" t="s">
        <v>12</v>
      </c>
      <c r="B1068" t="s">
        <v>10</v>
      </c>
      <c r="C1068" t="s">
        <v>11</v>
      </c>
      <c r="H1068">
        <f>IF(B1068="female", 0, 1)</f>
        <v>1</v>
      </c>
      <c r="I1068">
        <f>IF(C1068= "yes", 1, 0)</f>
        <v>0</v>
      </c>
      <c r="J1068">
        <v>48</v>
      </c>
      <c r="K1068">
        <v>37.29</v>
      </c>
      <c r="L1068">
        <v>2</v>
      </c>
      <c r="M1068">
        <v>8978.1851000000006</v>
      </c>
    </row>
    <row r="1069" spans="1:13" x14ac:dyDescent="0.35">
      <c r="A1069" t="s">
        <v>14</v>
      </c>
      <c r="B1069" t="s">
        <v>10</v>
      </c>
      <c r="C1069" t="s">
        <v>11</v>
      </c>
      <c r="H1069">
        <f>IF(B1069="female", 0, 1)</f>
        <v>1</v>
      </c>
      <c r="I1069">
        <f>IF(C1069= "yes", 1, 0)</f>
        <v>0</v>
      </c>
      <c r="J1069">
        <v>39</v>
      </c>
      <c r="K1069">
        <v>42.655000000000001</v>
      </c>
      <c r="L1069">
        <v>0</v>
      </c>
      <c r="M1069">
        <v>5757.41345</v>
      </c>
    </row>
    <row r="1070" spans="1:13" x14ac:dyDescent="0.35">
      <c r="A1070" t="s">
        <v>13</v>
      </c>
      <c r="B1070" t="s">
        <v>10</v>
      </c>
      <c r="C1070" t="s">
        <v>11</v>
      </c>
      <c r="H1070">
        <f>IF(B1070="female", 0, 1)</f>
        <v>1</v>
      </c>
      <c r="I1070">
        <f>IF(C1070= "yes", 1, 0)</f>
        <v>0</v>
      </c>
      <c r="J1070">
        <v>63</v>
      </c>
      <c r="K1070">
        <v>21.66</v>
      </c>
      <c r="L1070">
        <v>1</v>
      </c>
      <c r="M1070">
        <v>14349.8544</v>
      </c>
    </row>
    <row r="1071" spans="1:13" x14ac:dyDescent="0.35">
      <c r="A1071" t="s">
        <v>12</v>
      </c>
      <c r="B1071" t="s">
        <v>7</v>
      </c>
      <c r="C1071" t="s">
        <v>11</v>
      </c>
      <c r="H1071">
        <f>IF(B1071="female", 0, 1)</f>
        <v>0</v>
      </c>
      <c r="I1071">
        <f>IF(C1071= "yes", 1, 0)</f>
        <v>0</v>
      </c>
      <c r="J1071">
        <v>54</v>
      </c>
      <c r="K1071">
        <v>31.9</v>
      </c>
      <c r="L1071">
        <v>1</v>
      </c>
      <c r="M1071">
        <v>10928.849</v>
      </c>
    </row>
    <row r="1072" spans="1:13" x14ac:dyDescent="0.35">
      <c r="A1072" t="s">
        <v>12</v>
      </c>
      <c r="B1072" t="s">
        <v>10</v>
      </c>
      <c r="C1072" t="s">
        <v>8</v>
      </c>
      <c r="H1072">
        <f>IF(B1072="female", 0, 1)</f>
        <v>1</v>
      </c>
      <c r="I1072">
        <f>IF(C1072= "yes", 1, 0)</f>
        <v>1</v>
      </c>
      <c r="J1072">
        <v>37</v>
      </c>
      <c r="K1072">
        <v>37.07</v>
      </c>
      <c r="L1072">
        <v>1</v>
      </c>
      <c r="M1072">
        <v>39871.704299999998</v>
      </c>
    </row>
    <row r="1073" spans="1:13" x14ac:dyDescent="0.35">
      <c r="A1073" t="s">
        <v>14</v>
      </c>
      <c r="B1073" t="s">
        <v>10</v>
      </c>
      <c r="C1073" t="s">
        <v>11</v>
      </c>
      <c r="H1073">
        <f>IF(B1073="female", 0, 1)</f>
        <v>1</v>
      </c>
      <c r="I1073">
        <f>IF(C1073= "yes", 1, 0)</f>
        <v>0</v>
      </c>
      <c r="J1073">
        <v>63</v>
      </c>
      <c r="K1073">
        <v>31.445</v>
      </c>
      <c r="L1073">
        <v>0</v>
      </c>
      <c r="M1073">
        <v>13974.455550000001</v>
      </c>
    </row>
    <row r="1074" spans="1:13" x14ac:dyDescent="0.35">
      <c r="A1074" t="s">
        <v>13</v>
      </c>
      <c r="B1074" t="s">
        <v>10</v>
      </c>
      <c r="C1074" t="s">
        <v>11</v>
      </c>
      <c r="H1074">
        <f>IF(B1074="female", 0, 1)</f>
        <v>1</v>
      </c>
      <c r="I1074">
        <f>IF(C1074= "yes", 1, 0)</f>
        <v>0</v>
      </c>
      <c r="J1074">
        <v>21</v>
      </c>
      <c r="K1074">
        <v>31.254999999999999</v>
      </c>
      <c r="L1074">
        <v>0</v>
      </c>
      <c r="M1074">
        <v>1909.52745</v>
      </c>
    </row>
    <row r="1075" spans="1:13" x14ac:dyDescent="0.35">
      <c r="A1075" t="s">
        <v>14</v>
      </c>
      <c r="B1075" t="s">
        <v>7</v>
      </c>
      <c r="C1075" t="s">
        <v>11</v>
      </c>
      <c r="H1075">
        <f>IF(B1075="female", 0, 1)</f>
        <v>0</v>
      </c>
      <c r="I1075">
        <f>IF(C1075= "yes", 1, 0)</f>
        <v>0</v>
      </c>
      <c r="J1075">
        <v>54</v>
      </c>
      <c r="K1075">
        <v>28.88</v>
      </c>
      <c r="L1075">
        <v>2</v>
      </c>
      <c r="M1075">
        <v>12096.6512</v>
      </c>
    </row>
    <row r="1076" spans="1:13" x14ac:dyDescent="0.35">
      <c r="A1076" t="s">
        <v>14</v>
      </c>
      <c r="B1076" t="s">
        <v>7</v>
      </c>
      <c r="C1076" t="s">
        <v>11</v>
      </c>
      <c r="H1076">
        <f>IF(B1076="female", 0, 1)</f>
        <v>0</v>
      </c>
      <c r="I1076">
        <f>IF(C1076= "yes", 1, 0)</f>
        <v>0</v>
      </c>
      <c r="J1076">
        <v>60</v>
      </c>
      <c r="K1076">
        <v>18.335000000000001</v>
      </c>
      <c r="L1076">
        <v>0</v>
      </c>
      <c r="M1076">
        <v>13204.28565</v>
      </c>
    </row>
    <row r="1077" spans="1:13" x14ac:dyDescent="0.35">
      <c r="A1077" t="s">
        <v>12</v>
      </c>
      <c r="B1077" t="s">
        <v>7</v>
      </c>
      <c r="C1077" t="s">
        <v>11</v>
      </c>
      <c r="H1077">
        <f>IF(B1077="female", 0, 1)</f>
        <v>0</v>
      </c>
      <c r="I1077">
        <f>IF(C1077= "yes", 1, 0)</f>
        <v>0</v>
      </c>
      <c r="J1077">
        <v>32</v>
      </c>
      <c r="K1077">
        <v>29.59</v>
      </c>
      <c r="L1077">
        <v>1</v>
      </c>
      <c r="M1077">
        <v>4562.8420999999998</v>
      </c>
    </row>
    <row r="1078" spans="1:13" x14ac:dyDescent="0.35">
      <c r="A1078" t="s">
        <v>9</v>
      </c>
      <c r="B1078" t="s">
        <v>7</v>
      </c>
      <c r="C1078" t="s">
        <v>11</v>
      </c>
      <c r="H1078">
        <f>IF(B1078="female", 0, 1)</f>
        <v>0</v>
      </c>
      <c r="I1078">
        <f>IF(C1078= "yes", 1, 0)</f>
        <v>0</v>
      </c>
      <c r="J1078">
        <v>47</v>
      </c>
      <c r="K1078">
        <v>32</v>
      </c>
      <c r="L1078">
        <v>1</v>
      </c>
      <c r="M1078">
        <v>8551.3469999999998</v>
      </c>
    </row>
    <row r="1079" spans="1:13" x14ac:dyDescent="0.35">
      <c r="A1079" t="s">
        <v>14</v>
      </c>
      <c r="B1079" t="s">
        <v>10</v>
      </c>
      <c r="C1079" t="s">
        <v>11</v>
      </c>
      <c r="H1079">
        <f>IF(B1079="female", 0, 1)</f>
        <v>1</v>
      </c>
      <c r="I1079">
        <f>IF(C1079= "yes", 1, 0)</f>
        <v>0</v>
      </c>
      <c r="J1079">
        <v>21</v>
      </c>
      <c r="K1079">
        <v>26.03</v>
      </c>
      <c r="L1079">
        <v>0</v>
      </c>
      <c r="M1079">
        <v>2102.2647000000002</v>
      </c>
    </row>
    <row r="1080" spans="1:13" x14ac:dyDescent="0.35">
      <c r="A1080" t="s">
        <v>12</v>
      </c>
      <c r="B1080" t="s">
        <v>10</v>
      </c>
      <c r="C1080" t="s">
        <v>8</v>
      </c>
      <c r="H1080">
        <f>IF(B1080="female", 0, 1)</f>
        <v>1</v>
      </c>
      <c r="I1080">
        <f>IF(C1080= "yes", 1, 0)</f>
        <v>1</v>
      </c>
      <c r="J1080">
        <v>28</v>
      </c>
      <c r="K1080">
        <v>31.68</v>
      </c>
      <c r="L1080">
        <v>0</v>
      </c>
      <c r="M1080">
        <v>34672.147199999999</v>
      </c>
    </row>
    <row r="1081" spans="1:13" x14ac:dyDescent="0.35">
      <c r="A1081" t="s">
        <v>12</v>
      </c>
      <c r="B1081" t="s">
        <v>10</v>
      </c>
      <c r="C1081" t="s">
        <v>11</v>
      </c>
      <c r="H1081">
        <f>IF(B1081="female", 0, 1)</f>
        <v>1</v>
      </c>
      <c r="I1081">
        <f>IF(C1081= "yes", 1, 0)</f>
        <v>0</v>
      </c>
      <c r="J1081">
        <v>63</v>
      </c>
      <c r="K1081">
        <v>33.659999999999997</v>
      </c>
      <c r="L1081">
        <v>3</v>
      </c>
      <c r="M1081">
        <v>15161.5344</v>
      </c>
    </row>
    <row r="1082" spans="1:13" x14ac:dyDescent="0.35">
      <c r="A1082" t="s">
        <v>12</v>
      </c>
      <c r="B1082" t="s">
        <v>10</v>
      </c>
      <c r="C1082" t="s">
        <v>11</v>
      </c>
      <c r="H1082">
        <f>IF(B1082="female", 0, 1)</f>
        <v>1</v>
      </c>
      <c r="I1082">
        <f>IF(C1082= "yes", 1, 0)</f>
        <v>0</v>
      </c>
      <c r="J1082">
        <v>18</v>
      </c>
      <c r="K1082">
        <v>21.78</v>
      </c>
      <c r="L1082">
        <v>2</v>
      </c>
      <c r="M1082">
        <v>11884.048580000001</v>
      </c>
    </row>
    <row r="1083" spans="1:13" x14ac:dyDescent="0.35">
      <c r="A1083" t="s">
        <v>13</v>
      </c>
      <c r="B1083" t="s">
        <v>10</v>
      </c>
      <c r="C1083" t="s">
        <v>11</v>
      </c>
      <c r="H1083">
        <f>IF(B1083="female", 0, 1)</f>
        <v>1</v>
      </c>
      <c r="I1083">
        <f>IF(C1083= "yes", 1, 0)</f>
        <v>0</v>
      </c>
      <c r="J1083">
        <v>32</v>
      </c>
      <c r="K1083">
        <v>27.835000000000001</v>
      </c>
      <c r="L1083">
        <v>1</v>
      </c>
      <c r="M1083">
        <v>4454.40265</v>
      </c>
    </row>
    <row r="1084" spans="1:13" x14ac:dyDescent="0.35">
      <c r="A1084" t="s">
        <v>13</v>
      </c>
      <c r="B1084" t="s">
        <v>10</v>
      </c>
      <c r="C1084" t="s">
        <v>11</v>
      </c>
      <c r="H1084">
        <f>IF(B1084="female", 0, 1)</f>
        <v>1</v>
      </c>
      <c r="I1084">
        <f>IF(C1084= "yes", 1, 0)</f>
        <v>0</v>
      </c>
      <c r="J1084">
        <v>38</v>
      </c>
      <c r="K1084">
        <v>19.95</v>
      </c>
      <c r="L1084">
        <v>1</v>
      </c>
      <c r="M1084">
        <v>5855.9025000000001</v>
      </c>
    </row>
    <row r="1085" spans="1:13" x14ac:dyDescent="0.35">
      <c r="A1085" t="s">
        <v>9</v>
      </c>
      <c r="B1085" t="s">
        <v>10</v>
      </c>
      <c r="C1085" t="s">
        <v>11</v>
      </c>
      <c r="H1085">
        <f>IF(B1085="female", 0, 1)</f>
        <v>1</v>
      </c>
      <c r="I1085">
        <f>IF(C1085= "yes", 1, 0)</f>
        <v>0</v>
      </c>
      <c r="J1085">
        <v>32</v>
      </c>
      <c r="K1085">
        <v>31.5</v>
      </c>
      <c r="L1085">
        <v>1</v>
      </c>
      <c r="M1085">
        <v>4076.4969999999998</v>
      </c>
    </row>
    <row r="1086" spans="1:13" x14ac:dyDescent="0.35">
      <c r="A1086" t="s">
        <v>13</v>
      </c>
      <c r="B1086" t="s">
        <v>7</v>
      </c>
      <c r="C1086" t="s">
        <v>11</v>
      </c>
      <c r="H1086">
        <f>IF(B1086="female", 0, 1)</f>
        <v>0</v>
      </c>
      <c r="I1086">
        <f>IF(C1086= "yes", 1, 0)</f>
        <v>0</v>
      </c>
      <c r="J1086">
        <v>62</v>
      </c>
      <c r="K1086">
        <v>30.495000000000001</v>
      </c>
      <c r="L1086">
        <v>2</v>
      </c>
      <c r="M1086">
        <v>15019.760050000001</v>
      </c>
    </row>
    <row r="1087" spans="1:13" x14ac:dyDescent="0.35">
      <c r="A1087" t="s">
        <v>9</v>
      </c>
      <c r="B1087" t="s">
        <v>7</v>
      </c>
      <c r="C1087" t="s">
        <v>8</v>
      </c>
      <c r="H1087">
        <f>IF(B1087="female", 0, 1)</f>
        <v>0</v>
      </c>
      <c r="I1087">
        <f>IF(C1087= "yes", 1, 0)</f>
        <v>1</v>
      </c>
      <c r="J1087">
        <v>39</v>
      </c>
      <c r="K1087">
        <v>18.3</v>
      </c>
      <c r="L1087">
        <v>5</v>
      </c>
      <c r="M1087">
        <v>19023.259999999998</v>
      </c>
    </row>
    <row r="1088" spans="1:13" x14ac:dyDescent="0.35">
      <c r="A1088" t="s">
        <v>14</v>
      </c>
      <c r="B1088" t="s">
        <v>10</v>
      </c>
      <c r="C1088" t="s">
        <v>11</v>
      </c>
      <c r="H1088">
        <f>IF(B1088="female", 0, 1)</f>
        <v>1</v>
      </c>
      <c r="I1088">
        <f>IF(C1088= "yes", 1, 0)</f>
        <v>0</v>
      </c>
      <c r="J1088">
        <v>55</v>
      </c>
      <c r="K1088">
        <v>28.975000000000001</v>
      </c>
      <c r="L1088">
        <v>0</v>
      </c>
      <c r="M1088">
        <v>10796.35025</v>
      </c>
    </row>
    <row r="1089" spans="1:13" x14ac:dyDescent="0.35">
      <c r="A1089" t="s">
        <v>13</v>
      </c>
      <c r="B1089" t="s">
        <v>10</v>
      </c>
      <c r="C1089" t="s">
        <v>11</v>
      </c>
      <c r="H1089">
        <f>IF(B1089="female", 0, 1)</f>
        <v>1</v>
      </c>
      <c r="I1089">
        <f>IF(C1089= "yes", 1, 0)</f>
        <v>0</v>
      </c>
      <c r="J1089">
        <v>57</v>
      </c>
      <c r="K1089">
        <v>31.54</v>
      </c>
      <c r="L1089">
        <v>0</v>
      </c>
      <c r="M1089">
        <v>11353.2276</v>
      </c>
    </row>
    <row r="1090" spans="1:13" x14ac:dyDescent="0.35">
      <c r="A1090" t="s">
        <v>12</v>
      </c>
      <c r="B1090" t="s">
        <v>10</v>
      </c>
      <c r="C1090" t="s">
        <v>11</v>
      </c>
      <c r="H1090">
        <f>IF(B1090="female", 0, 1)</f>
        <v>1</v>
      </c>
      <c r="I1090">
        <f>IF(C1090= "yes", 1, 0)</f>
        <v>0</v>
      </c>
      <c r="J1090">
        <v>52</v>
      </c>
      <c r="K1090">
        <v>47.74</v>
      </c>
      <c r="L1090">
        <v>1</v>
      </c>
      <c r="M1090">
        <v>9748.9105999999992</v>
      </c>
    </row>
    <row r="1091" spans="1:13" x14ac:dyDescent="0.35">
      <c r="A1091" t="s">
        <v>9</v>
      </c>
      <c r="B1091" t="s">
        <v>10</v>
      </c>
      <c r="C1091" t="s">
        <v>11</v>
      </c>
      <c r="H1091">
        <f>IF(B1091="female", 0, 1)</f>
        <v>1</v>
      </c>
      <c r="I1091">
        <f>IF(C1091= "yes", 1, 0)</f>
        <v>0</v>
      </c>
      <c r="J1091">
        <v>56</v>
      </c>
      <c r="K1091">
        <v>22.1</v>
      </c>
      <c r="L1091">
        <v>0</v>
      </c>
      <c r="M1091">
        <v>10577.087</v>
      </c>
    </row>
    <row r="1092" spans="1:13" x14ac:dyDescent="0.35">
      <c r="A1092" t="s">
        <v>12</v>
      </c>
      <c r="B1092" t="s">
        <v>10</v>
      </c>
      <c r="C1092" t="s">
        <v>8</v>
      </c>
      <c r="H1092">
        <f>IF(B1092="female", 0, 1)</f>
        <v>1</v>
      </c>
      <c r="I1092">
        <f>IF(C1092= "yes", 1, 0)</f>
        <v>1</v>
      </c>
      <c r="J1092">
        <v>47</v>
      </c>
      <c r="K1092">
        <v>36.19</v>
      </c>
      <c r="L1092">
        <v>0</v>
      </c>
      <c r="M1092">
        <v>41676.081100000003</v>
      </c>
    </row>
    <row r="1093" spans="1:13" x14ac:dyDescent="0.35">
      <c r="A1093" t="s">
        <v>14</v>
      </c>
      <c r="B1093" t="s">
        <v>7</v>
      </c>
      <c r="C1093" t="s">
        <v>11</v>
      </c>
      <c r="H1093">
        <f>IF(B1093="female", 0, 1)</f>
        <v>0</v>
      </c>
      <c r="I1093">
        <f>IF(C1093= "yes", 1, 0)</f>
        <v>0</v>
      </c>
      <c r="J1093">
        <v>55</v>
      </c>
      <c r="K1093">
        <v>29.83</v>
      </c>
      <c r="L1093">
        <v>0</v>
      </c>
      <c r="M1093">
        <v>11286.538699999999</v>
      </c>
    </row>
    <row r="1094" spans="1:13" x14ac:dyDescent="0.35">
      <c r="A1094" t="s">
        <v>9</v>
      </c>
      <c r="B1094" t="s">
        <v>10</v>
      </c>
      <c r="C1094" t="s">
        <v>11</v>
      </c>
      <c r="H1094">
        <f>IF(B1094="female", 0, 1)</f>
        <v>1</v>
      </c>
      <c r="I1094">
        <f>IF(C1094= "yes", 1, 0)</f>
        <v>0</v>
      </c>
      <c r="J1094">
        <v>23</v>
      </c>
      <c r="K1094">
        <v>32.700000000000003</v>
      </c>
      <c r="L1094">
        <v>3</v>
      </c>
      <c r="M1094">
        <v>3591.48</v>
      </c>
    </row>
    <row r="1095" spans="1:13" x14ac:dyDescent="0.35">
      <c r="A1095" t="s">
        <v>13</v>
      </c>
      <c r="B1095" t="s">
        <v>7</v>
      </c>
      <c r="C1095" t="s">
        <v>8</v>
      </c>
      <c r="H1095">
        <f>IF(B1095="female", 0, 1)</f>
        <v>0</v>
      </c>
      <c r="I1095">
        <f>IF(C1095= "yes", 1, 0)</f>
        <v>1</v>
      </c>
      <c r="J1095">
        <v>22</v>
      </c>
      <c r="K1095">
        <v>30.4</v>
      </c>
      <c r="L1095">
        <v>0</v>
      </c>
      <c r="M1095">
        <v>33907.548000000003</v>
      </c>
    </row>
    <row r="1096" spans="1:13" x14ac:dyDescent="0.35">
      <c r="A1096" t="s">
        <v>9</v>
      </c>
      <c r="B1096" t="s">
        <v>7</v>
      </c>
      <c r="C1096" t="s">
        <v>11</v>
      </c>
      <c r="H1096">
        <f>IF(B1096="female", 0, 1)</f>
        <v>0</v>
      </c>
      <c r="I1096">
        <f>IF(C1096= "yes", 1, 0)</f>
        <v>0</v>
      </c>
      <c r="J1096">
        <v>50</v>
      </c>
      <c r="K1096">
        <v>33.700000000000003</v>
      </c>
      <c r="L1096">
        <v>4</v>
      </c>
      <c r="M1096">
        <v>11299.343000000001</v>
      </c>
    </row>
    <row r="1097" spans="1:13" x14ac:dyDescent="0.35">
      <c r="A1097" t="s">
        <v>14</v>
      </c>
      <c r="B1097" t="s">
        <v>7</v>
      </c>
      <c r="C1097" t="s">
        <v>11</v>
      </c>
      <c r="H1097">
        <f>IF(B1097="female", 0, 1)</f>
        <v>0</v>
      </c>
      <c r="I1097">
        <f>IF(C1097= "yes", 1, 0)</f>
        <v>0</v>
      </c>
      <c r="J1097">
        <v>18</v>
      </c>
      <c r="K1097">
        <v>31.35</v>
      </c>
      <c r="L1097">
        <v>4</v>
      </c>
      <c r="M1097">
        <v>4561.1885000000002</v>
      </c>
    </row>
    <row r="1098" spans="1:13" x14ac:dyDescent="0.35">
      <c r="A1098" t="s">
        <v>14</v>
      </c>
      <c r="B1098" t="s">
        <v>7</v>
      </c>
      <c r="C1098" t="s">
        <v>8</v>
      </c>
      <c r="H1098">
        <f>IF(B1098="female", 0, 1)</f>
        <v>0</v>
      </c>
      <c r="I1098">
        <f>IF(C1098= "yes", 1, 0)</f>
        <v>1</v>
      </c>
      <c r="J1098">
        <v>51</v>
      </c>
      <c r="K1098">
        <v>34.96</v>
      </c>
      <c r="L1098">
        <v>2</v>
      </c>
      <c r="M1098">
        <v>44641.197399999997</v>
      </c>
    </row>
    <row r="1099" spans="1:13" x14ac:dyDescent="0.35">
      <c r="A1099" t="s">
        <v>12</v>
      </c>
      <c r="B1099" t="s">
        <v>10</v>
      </c>
      <c r="C1099" t="s">
        <v>11</v>
      </c>
      <c r="H1099">
        <f>IF(B1099="female", 0, 1)</f>
        <v>1</v>
      </c>
      <c r="I1099">
        <f>IF(C1099= "yes", 1, 0)</f>
        <v>0</v>
      </c>
      <c r="J1099">
        <v>22</v>
      </c>
      <c r="K1099">
        <v>33.770000000000003</v>
      </c>
      <c r="L1099">
        <v>0</v>
      </c>
      <c r="M1099">
        <v>1674.6323</v>
      </c>
    </row>
    <row r="1100" spans="1:13" x14ac:dyDescent="0.35">
      <c r="A1100" t="s">
        <v>14</v>
      </c>
      <c r="B1100" t="s">
        <v>7</v>
      </c>
      <c r="C1100" t="s">
        <v>11</v>
      </c>
      <c r="H1100">
        <f>IF(B1100="female", 0, 1)</f>
        <v>0</v>
      </c>
      <c r="I1100">
        <f>IF(C1100= "yes", 1, 0)</f>
        <v>0</v>
      </c>
      <c r="J1100">
        <v>52</v>
      </c>
      <c r="K1100">
        <v>30.875</v>
      </c>
      <c r="L1100">
        <v>0</v>
      </c>
      <c r="M1100">
        <v>23045.566159999998</v>
      </c>
    </row>
    <row r="1101" spans="1:13" x14ac:dyDescent="0.35">
      <c r="A1101" t="s">
        <v>12</v>
      </c>
      <c r="B1101" t="s">
        <v>7</v>
      </c>
      <c r="C1101" t="s">
        <v>11</v>
      </c>
      <c r="H1101">
        <f>IF(B1101="female", 0, 1)</f>
        <v>0</v>
      </c>
      <c r="I1101">
        <f>IF(C1101= "yes", 1, 0)</f>
        <v>0</v>
      </c>
      <c r="J1101">
        <v>25</v>
      </c>
      <c r="K1101">
        <v>33.99</v>
      </c>
      <c r="L1101">
        <v>1</v>
      </c>
      <c r="M1101">
        <v>3227.1210999999998</v>
      </c>
    </row>
    <row r="1102" spans="1:13" x14ac:dyDescent="0.35">
      <c r="A1102" t="s">
        <v>14</v>
      </c>
      <c r="B1102" t="s">
        <v>7</v>
      </c>
      <c r="C1102" t="s">
        <v>8</v>
      </c>
      <c r="H1102">
        <f>IF(B1102="female", 0, 1)</f>
        <v>0</v>
      </c>
      <c r="I1102">
        <f>IF(C1102= "yes", 1, 0)</f>
        <v>1</v>
      </c>
      <c r="J1102">
        <v>33</v>
      </c>
      <c r="K1102">
        <v>19.094999999999999</v>
      </c>
      <c r="L1102">
        <v>2</v>
      </c>
      <c r="M1102">
        <v>16776.304049999999</v>
      </c>
    </row>
    <row r="1103" spans="1:13" x14ac:dyDescent="0.35">
      <c r="A1103" t="s">
        <v>9</v>
      </c>
      <c r="B1103" t="s">
        <v>10</v>
      </c>
      <c r="C1103" t="s">
        <v>11</v>
      </c>
      <c r="H1103">
        <f>IF(B1103="female", 0, 1)</f>
        <v>1</v>
      </c>
      <c r="I1103">
        <f>IF(C1103= "yes", 1, 0)</f>
        <v>0</v>
      </c>
      <c r="J1103">
        <v>53</v>
      </c>
      <c r="K1103">
        <v>28.6</v>
      </c>
      <c r="L1103">
        <v>3</v>
      </c>
      <c r="M1103">
        <v>11253.421</v>
      </c>
    </row>
    <row r="1104" spans="1:13" x14ac:dyDescent="0.35">
      <c r="A1104" t="s">
        <v>12</v>
      </c>
      <c r="B1104" t="s">
        <v>10</v>
      </c>
      <c r="C1104" t="s">
        <v>11</v>
      </c>
      <c r="H1104">
        <f>IF(B1104="female", 0, 1)</f>
        <v>1</v>
      </c>
      <c r="I1104">
        <f>IF(C1104= "yes", 1, 0)</f>
        <v>0</v>
      </c>
      <c r="J1104">
        <v>29</v>
      </c>
      <c r="K1104">
        <v>38.94</v>
      </c>
      <c r="L1104">
        <v>1</v>
      </c>
      <c r="M1104">
        <v>3471.4096</v>
      </c>
    </row>
    <row r="1105" spans="1:13" x14ac:dyDescent="0.35">
      <c r="A1105" t="s">
        <v>12</v>
      </c>
      <c r="B1105" t="s">
        <v>10</v>
      </c>
      <c r="C1105" t="s">
        <v>11</v>
      </c>
      <c r="H1105">
        <f>IF(B1105="female", 0, 1)</f>
        <v>1</v>
      </c>
      <c r="I1105">
        <f>IF(C1105= "yes", 1, 0)</f>
        <v>0</v>
      </c>
      <c r="J1105">
        <v>58</v>
      </c>
      <c r="K1105">
        <v>36.08</v>
      </c>
      <c r="L1105">
        <v>0</v>
      </c>
      <c r="M1105">
        <v>11363.2832</v>
      </c>
    </row>
    <row r="1106" spans="1:13" x14ac:dyDescent="0.35">
      <c r="A1106" t="s">
        <v>9</v>
      </c>
      <c r="B1106" t="s">
        <v>10</v>
      </c>
      <c r="C1106" t="s">
        <v>11</v>
      </c>
      <c r="H1106">
        <f>IF(B1106="female", 0, 1)</f>
        <v>1</v>
      </c>
      <c r="I1106">
        <f>IF(C1106= "yes", 1, 0)</f>
        <v>0</v>
      </c>
      <c r="J1106">
        <v>37</v>
      </c>
      <c r="K1106">
        <v>29.8</v>
      </c>
      <c r="L1106">
        <v>0</v>
      </c>
      <c r="M1106">
        <v>20420.604650000001</v>
      </c>
    </row>
    <row r="1107" spans="1:13" x14ac:dyDescent="0.35">
      <c r="A1107" t="s">
        <v>12</v>
      </c>
      <c r="B1107" t="s">
        <v>7</v>
      </c>
      <c r="C1107" t="s">
        <v>11</v>
      </c>
      <c r="H1107">
        <f>IF(B1107="female", 0, 1)</f>
        <v>0</v>
      </c>
      <c r="I1107">
        <f>IF(C1107= "yes", 1, 0)</f>
        <v>0</v>
      </c>
      <c r="J1107">
        <v>54</v>
      </c>
      <c r="K1107">
        <v>31.24</v>
      </c>
      <c r="L1107">
        <v>0</v>
      </c>
      <c r="M1107">
        <v>10338.9316</v>
      </c>
    </row>
    <row r="1108" spans="1:13" x14ac:dyDescent="0.35">
      <c r="A1108" t="s">
        <v>13</v>
      </c>
      <c r="B1108" t="s">
        <v>7</v>
      </c>
      <c r="C1108" t="s">
        <v>11</v>
      </c>
      <c r="H1108">
        <f>IF(B1108="female", 0, 1)</f>
        <v>0</v>
      </c>
      <c r="I1108">
        <f>IF(C1108= "yes", 1, 0)</f>
        <v>0</v>
      </c>
      <c r="J1108">
        <v>49</v>
      </c>
      <c r="K1108">
        <v>29.925000000000001</v>
      </c>
      <c r="L1108">
        <v>0</v>
      </c>
      <c r="M1108">
        <v>8988.1587500000005</v>
      </c>
    </row>
    <row r="1109" spans="1:13" x14ac:dyDescent="0.35">
      <c r="A1109" t="s">
        <v>13</v>
      </c>
      <c r="B1109" t="s">
        <v>7</v>
      </c>
      <c r="C1109" t="s">
        <v>11</v>
      </c>
      <c r="H1109">
        <f>IF(B1109="female", 0, 1)</f>
        <v>0</v>
      </c>
      <c r="I1109">
        <f>IF(C1109= "yes", 1, 0)</f>
        <v>0</v>
      </c>
      <c r="J1109">
        <v>50</v>
      </c>
      <c r="K1109">
        <v>26.22</v>
      </c>
      <c r="L1109">
        <v>2</v>
      </c>
      <c r="M1109">
        <v>10493.9458</v>
      </c>
    </row>
    <row r="1110" spans="1:13" x14ac:dyDescent="0.35">
      <c r="A1110" t="s">
        <v>9</v>
      </c>
      <c r="B1110" t="s">
        <v>10</v>
      </c>
      <c r="C1110" t="s">
        <v>11</v>
      </c>
      <c r="H1110">
        <f>IF(B1110="female", 0, 1)</f>
        <v>1</v>
      </c>
      <c r="I1110">
        <f>IF(C1110= "yes", 1, 0)</f>
        <v>0</v>
      </c>
      <c r="J1110">
        <v>26</v>
      </c>
      <c r="K1110">
        <v>30</v>
      </c>
      <c r="L1110">
        <v>1</v>
      </c>
      <c r="M1110">
        <v>2904.0880000000002</v>
      </c>
    </row>
    <row r="1111" spans="1:13" x14ac:dyDescent="0.35">
      <c r="A1111" t="s">
        <v>12</v>
      </c>
      <c r="B1111" t="s">
        <v>10</v>
      </c>
      <c r="C1111" t="s">
        <v>11</v>
      </c>
      <c r="H1111">
        <f>IF(B1111="female", 0, 1)</f>
        <v>1</v>
      </c>
      <c r="I1111">
        <f>IF(C1111= "yes", 1, 0)</f>
        <v>0</v>
      </c>
      <c r="J1111">
        <v>45</v>
      </c>
      <c r="K1111">
        <v>20.350000000000001</v>
      </c>
      <c r="L1111">
        <v>3</v>
      </c>
      <c r="M1111">
        <v>8605.3615000000009</v>
      </c>
    </row>
    <row r="1112" spans="1:13" x14ac:dyDescent="0.35">
      <c r="A1112" t="s">
        <v>14</v>
      </c>
      <c r="B1112" t="s">
        <v>7</v>
      </c>
      <c r="C1112" t="s">
        <v>11</v>
      </c>
      <c r="H1112">
        <f>IF(B1112="female", 0, 1)</f>
        <v>0</v>
      </c>
      <c r="I1112">
        <f>IF(C1112= "yes", 1, 0)</f>
        <v>0</v>
      </c>
      <c r="J1112">
        <v>54</v>
      </c>
      <c r="K1112">
        <v>32.299999999999997</v>
      </c>
      <c r="L1112">
        <v>1</v>
      </c>
      <c r="M1112">
        <v>11512.405000000001</v>
      </c>
    </row>
    <row r="1113" spans="1:13" x14ac:dyDescent="0.35">
      <c r="A1113" t="s">
        <v>12</v>
      </c>
      <c r="B1113" t="s">
        <v>10</v>
      </c>
      <c r="C1113" t="s">
        <v>8</v>
      </c>
      <c r="H1113">
        <f>IF(B1113="female", 0, 1)</f>
        <v>1</v>
      </c>
      <c r="I1113">
        <f>IF(C1113= "yes", 1, 0)</f>
        <v>1</v>
      </c>
      <c r="J1113">
        <v>38</v>
      </c>
      <c r="K1113">
        <v>38.39</v>
      </c>
      <c r="L1113">
        <v>3</v>
      </c>
      <c r="M1113">
        <v>41949.244100000004</v>
      </c>
    </row>
    <row r="1114" spans="1:13" x14ac:dyDescent="0.35">
      <c r="A1114" t="s">
        <v>12</v>
      </c>
      <c r="B1114" t="s">
        <v>7</v>
      </c>
      <c r="C1114" t="s">
        <v>8</v>
      </c>
      <c r="H1114">
        <f>IF(B1114="female", 0, 1)</f>
        <v>0</v>
      </c>
      <c r="I1114">
        <f>IF(C1114= "yes", 1, 0)</f>
        <v>1</v>
      </c>
      <c r="J1114">
        <v>48</v>
      </c>
      <c r="K1114">
        <v>25.85</v>
      </c>
      <c r="L1114">
        <v>3</v>
      </c>
      <c r="M1114">
        <v>24180.933499999999</v>
      </c>
    </row>
    <row r="1115" spans="1:13" x14ac:dyDescent="0.35">
      <c r="A1115" t="s">
        <v>13</v>
      </c>
      <c r="B1115" t="s">
        <v>7</v>
      </c>
      <c r="C1115" t="s">
        <v>11</v>
      </c>
      <c r="H1115">
        <f>IF(B1115="female", 0, 1)</f>
        <v>0</v>
      </c>
      <c r="I1115">
        <f>IF(C1115= "yes", 1, 0)</f>
        <v>0</v>
      </c>
      <c r="J1115">
        <v>28</v>
      </c>
      <c r="K1115">
        <v>26.315000000000001</v>
      </c>
      <c r="L1115">
        <v>3</v>
      </c>
      <c r="M1115">
        <v>5312.1698500000002</v>
      </c>
    </row>
    <row r="1116" spans="1:13" x14ac:dyDescent="0.35">
      <c r="A1116" t="s">
        <v>14</v>
      </c>
      <c r="B1116" t="s">
        <v>10</v>
      </c>
      <c r="C1116" t="s">
        <v>11</v>
      </c>
      <c r="H1116">
        <f>IF(B1116="female", 0, 1)</f>
        <v>1</v>
      </c>
      <c r="I1116">
        <f>IF(C1116= "yes", 1, 0)</f>
        <v>0</v>
      </c>
      <c r="J1116">
        <v>23</v>
      </c>
      <c r="K1116">
        <v>24.51</v>
      </c>
      <c r="L1116">
        <v>0</v>
      </c>
      <c r="M1116">
        <v>2396.0958999999998</v>
      </c>
    </row>
    <row r="1117" spans="1:13" x14ac:dyDescent="0.35">
      <c r="A1117" t="s">
        <v>12</v>
      </c>
      <c r="B1117" t="s">
        <v>10</v>
      </c>
      <c r="C1117" t="s">
        <v>11</v>
      </c>
      <c r="H1117">
        <f>IF(B1117="female", 0, 1)</f>
        <v>1</v>
      </c>
      <c r="I1117">
        <f>IF(C1117= "yes", 1, 0)</f>
        <v>0</v>
      </c>
      <c r="J1117">
        <v>55</v>
      </c>
      <c r="K1117">
        <v>32.67</v>
      </c>
      <c r="L1117">
        <v>1</v>
      </c>
      <c r="M1117">
        <v>10807.4863</v>
      </c>
    </row>
    <row r="1118" spans="1:13" x14ac:dyDescent="0.35">
      <c r="A1118" t="s">
        <v>14</v>
      </c>
      <c r="B1118" t="s">
        <v>10</v>
      </c>
      <c r="C1118" t="s">
        <v>11</v>
      </c>
      <c r="H1118">
        <f>IF(B1118="female", 0, 1)</f>
        <v>1</v>
      </c>
      <c r="I1118">
        <f>IF(C1118= "yes", 1, 0)</f>
        <v>0</v>
      </c>
      <c r="J1118">
        <v>41</v>
      </c>
      <c r="K1118">
        <v>29.64</v>
      </c>
      <c r="L1118">
        <v>5</v>
      </c>
      <c r="M1118">
        <v>9222.4025999999994</v>
      </c>
    </row>
    <row r="1119" spans="1:13" x14ac:dyDescent="0.35">
      <c r="A1119" t="s">
        <v>12</v>
      </c>
      <c r="B1119" t="s">
        <v>10</v>
      </c>
      <c r="C1119" t="s">
        <v>8</v>
      </c>
      <c r="H1119">
        <f>IF(B1119="female", 0, 1)</f>
        <v>1</v>
      </c>
      <c r="I1119">
        <f>IF(C1119= "yes", 1, 0)</f>
        <v>1</v>
      </c>
      <c r="J1119">
        <v>25</v>
      </c>
      <c r="K1119">
        <v>33.33</v>
      </c>
      <c r="L1119">
        <v>2</v>
      </c>
      <c r="M1119">
        <v>36124.573700000001</v>
      </c>
    </row>
    <row r="1120" spans="1:13" x14ac:dyDescent="0.35">
      <c r="A1120" t="s">
        <v>12</v>
      </c>
      <c r="B1120" t="s">
        <v>10</v>
      </c>
      <c r="C1120" t="s">
        <v>8</v>
      </c>
      <c r="H1120">
        <f>IF(B1120="female", 0, 1)</f>
        <v>1</v>
      </c>
      <c r="I1120">
        <f>IF(C1120= "yes", 1, 0)</f>
        <v>1</v>
      </c>
      <c r="J1120">
        <v>33</v>
      </c>
      <c r="K1120">
        <v>35.75</v>
      </c>
      <c r="L1120">
        <v>1</v>
      </c>
      <c r="M1120">
        <v>38282.749499999998</v>
      </c>
    </row>
    <row r="1121" spans="1:13" x14ac:dyDescent="0.35">
      <c r="A1121" t="s">
        <v>13</v>
      </c>
      <c r="B1121" t="s">
        <v>7</v>
      </c>
      <c r="C1121" t="s">
        <v>11</v>
      </c>
      <c r="H1121">
        <f>IF(B1121="female", 0, 1)</f>
        <v>0</v>
      </c>
      <c r="I1121">
        <f>IF(C1121= "yes", 1, 0)</f>
        <v>0</v>
      </c>
      <c r="J1121">
        <v>30</v>
      </c>
      <c r="K1121">
        <v>19.95</v>
      </c>
      <c r="L1121">
        <v>3</v>
      </c>
      <c r="M1121">
        <v>5693.4305000000004</v>
      </c>
    </row>
    <row r="1122" spans="1:13" x14ac:dyDescent="0.35">
      <c r="A1122" t="s">
        <v>9</v>
      </c>
      <c r="B1122" t="s">
        <v>7</v>
      </c>
      <c r="C1122" t="s">
        <v>8</v>
      </c>
      <c r="H1122">
        <f>IF(B1122="female", 0, 1)</f>
        <v>0</v>
      </c>
      <c r="I1122">
        <f>IF(C1122= "yes", 1, 0)</f>
        <v>1</v>
      </c>
      <c r="J1122">
        <v>23</v>
      </c>
      <c r="K1122">
        <v>31.4</v>
      </c>
      <c r="L1122">
        <v>0</v>
      </c>
      <c r="M1122">
        <v>34166.273000000001</v>
      </c>
    </row>
    <row r="1123" spans="1:13" x14ac:dyDescent="0.35">
      <c r="A1123" t="s">
        <v>12</v>
      </c>
      <c r="B1123" t="s">
        <v>10</v>
      </c>
      <c r="C1123" t="s">
        <v>11</v>
      </c>
      <c r="H1123">
        <f>IF(B1123="female", 0, 1)</f>
        <v>1</v>
      </c>
      <c r="I1123">
        <f>IF(C1123= "yes", 1, 0)</f>
        <v>0</v>
      </c>
      <c r="J1123">
        <v>46</v>
      </c>
      <c r="K1123">
        <v>38.17</v>
      </c>
      <c r="L1123">
        <v>2</v>
      </c>
      <c r="M1123">
        <v>8347.1643000000004</v>
      </c>
    </row>
    <row r="1124" spans="1:13" x14ac:dyDescent="0.35">
      <c r="A1124" t="s">
        <v>13</v>
      </c>
      <c r="B1124" t="s">
        <v>7</v>
      </c>
      <c r="C1124" t="s">
        <v>8</v>
      </c>
      <c r="H1124">
        <f>IF(B1124="female", 0, 1)</f>
        <v>0</v>
      </c>
      <c r="I1124">
        <f>IF(C1124= "yes", 1, 0)</f>
        <v>1</v>
      </c>
      <c r="J1124">
        <v>53</v>
      </c>
      <c r="K1124">
        <v>36.86</v>
      </c>
      <c r="L1124">
        <v>3</v>
      </c>
      <c r="M1124">
        <v>46661.4424</v>
      </c>
    </row>
    <row r="1125" spans="1:13" x14ac:dyDescent="0.35">
      <c r="A1125" t="s">
        <v>14</v>
      </c>
      <c r="B1125" t="s">
        <v>7</v>
      </c>
      <c r="C1125" t="s">
        <v>11</v>
      </c>
      <c r="H1125">
        <f>IF(B1125="female", 0, 1)</f>
        <v>0</v>
      </c>
      <c r="I1125">
        <f>IF(C1125= "yes", 1, 0)</f>
        <v>0</v>
      </c>
      <c r="J1125">
        <v>27</v>
      </c>
      <c r="K1125">
        <v>32.395000000000003</v>
      </c>
      <c r="L1125">
        <v>1</v>
      </c>
      <c r="M1125">
        <v>18903.491409999999</v>
      </c>
    </row>
    <row r="1126" spans="1:13" x14ac:dyDescent="0.35">
      <c r="A1126" t="s">
        <v>14</v>
      </c>
      <c r="B1126" t="s">
        <v>7</v>
      </c>
      <c r="C1126" t="s">
        <v>8</v>
      </c>
      <c r="H1126">
        <f>IF(B1126="female", 0, 1)</f>
        <v>0</v>
      </c>
      <c r="I1126">
        <f>IF(C1126= "yes", 1, 0)</f>
        <v>1</v>
      </c>
      <c r="J1126">
        <v>23</v>
      </c>
      <c r="K1126">
        <v>42.75</v>
      </c>
      <c r="L1126">
        <v>1</v>
      </c>
      <c r="M1126">
        <v>40904.199500000002</v>
      </c>
    </row>
    <row r="1127" spans="1:13" x14ac:dyDescent="0.35">
      <c r="A1127" t="s">
        <v>13</v>
      </c>
      <c r="B1127" t="s">
        <v>7</v>
      </c>
      <c r="C1127" t="s">
        <v>11</v>
      </c>
      <c r="H1127">
        <f>IF(B1127="female", 0, 1)</f>
        <v>0</v>
      </c>
      <c r="I1127">
        <f>IF(C1127= "yes", 1, 0)</f>
        <v>0</v>
      </c>
      <c r="J1127">
        <v>63</v>
      </c>
      <c r="K1127">
        <v>25.08</v>
      </c>
      <c r="L1127">
        <v>0</v>
      </c>
      <c r="M1127">
        <v>14254.608200000001</v>
      </c>
    </row>
    <row r="1128" spans="1:13" x14ac:dyDescent="0.35">
      <c r="A1128" t="s">
        <v>9</v>
      </c>
      <c r="B1128" t="s">
        <v>10</v>
      </c>
      <c r="C1128" t="s">
        <v>11</v>
      </c>
      <c r="H1128">
        <f>IF(B1128="female", 0, 1)</f>
        <v>1</v>
      </c>
      <c r="I1128">
        <f>IF(C1128= "yes", 1, 0)</f>
        <v>0</v>
      </c>
      <c r="J1128">
        <v>55</v>
      </c>
      <c r="K1128">
        <v>29.9</v>
      </c>
      <c r="L1128">
        <v>0</v>
      </c>
      <c r="M1128">
        <v>10214.636</v>
      </c>
    </row>
    <row r="1129" spans="1:13" x14ac:dyDescent="0.35">
      <c r="A1129" t="s">
        <v>12</v>
      </c>
      <c r="B1129" t="s">
        <v>7</v>
      </c>
      <c r="C1129" t="s">
        <v>11</v>
      </c>
      <c r="H1129">
        <f>IF(B1129="female", 0, 1)</f>
        <v>0</v>
      </c>
      <c r="I1129">
        <f>IF(C1129= "yes", 1, 0)</f>
        <v>0</v>
      </c>
      <c r="J1129">
        <v>35</v>
      </c>
      <c r="K1129">
        <v>35.86</v>
      </c>
      <c r="L1129">
        <v>2</v>
      </c>
      <c r="M1129">
        <v>5836.5204000000003</v>
      </c>
    </row>
    <row r="1130" spans="1:13" x14ac:dyDescent="0.35">
      <c r="A1130" t="s">
        <v>9</v>
      </c>
      <c r="B1130" t="s">
        <v>10</v>
      </c>
      <c r="C1130" t="s">
        <v>11</v>
      </c>
      <c r="H1130">
        <f>IF(B1130="female", 0, 1)</f>
        <v>1</v>
      </c>
      <c r="I1130">
        <f>IF(C1130= "yes", 1, 0)</f>
        <v>0</v>
      </c>
      <c r="J1130">
        <v>34</v>
      </c>
      <c r="K1130">
        <v>32.799999999999997</v>
      </c>
      <c r="L1130">
        <v>1</v>
      </c>
      <c r="M1130">
        <v>14358.364369999999</v>
      </c>
    </row>
    <row r="1131" spans="1:13" x14ac:dyDescent="0.35">
      <c r="A1131" t="s">
        <v>9</v>
      </c>
      <c r="B1131" t="s">
        <v>7</v>
      </c>
      <c r="C1131" t="s">
        <v>11</v>
      </c>
      <c r="H1131">
        <f>IF(B1131="female", 0, 1)</f>
        <v>0</v>
      </c>
      <c r="I1131">
        <f>IF(C1131= "yes", 1, 0)</f>
        <v>0</v>
      </c>
      <c r="J1131">
        <v>19</v>
      </c>
      <c r="K1131">
        <v>18.600000000000001</v>
      </c>
      <c r="L1131">
        <v>0</v>
      </c>
      <c r="M1131">
        <v>1728.8969999999999</v>
      </c>
    </row>
    <row r="1132" spans="1:13" x14ac:dyDescent="0.35">
      <c r="A1132" t="s">
        <v>12</v>
      </c>
      <c r="B1132" t="s">
        <v>7</v>
      </c>
      <c r="C1132" t="s">
        <v>11</v>
      </c>
      <c r="H1132">
        <f>IF(B1132="female", 0, 1)</f>
        <v>0</v>
      </c>
      <c r="I1132">
        <f>IF(C1132= "yes", 1, 0)</f>
        <v>0</v>
      </c>
      <c r="J1132">
        <v>39</v>
      </c>
      <c r="K1132">
        <v>23.87</v>
      </c>
      <c r="L1132">
        <v>5</v>
      </c>
      <c r="M1132">
        <v>8582.3022999999994</v>
      </c>
    </row>
    <row r="1133" spans="1:13" x14ac:dyDescent="0.35">
      <c r="A1133" t="s">
        <v>9</v>
      </c>
      <c r="B1133" t="s">
        <v>10</v>
      </c>
      <c r="C1133" t="s">
        <v>11</v>
      </c>
      <c r="H1133">
        <f>IF(B1133="female", 0, 1)</f>
        <v>1</v>
      </c>
      <c r="I1133">
        <f>IF(C1133= "yes", 1, 0)</f>
        <v>0</v>
      </c>
      <c r="J1133">
        <v>27</v>
      </c>
      <c r="K1133">
        <v>45.9</v>
      </c>
      <c r="L1133">
        <v>2</v>
      </c>
      <c r="M1133">
        <v>3693.4279999999999</v>
      </c>
    </row>
    <row r="1134" spans="1:13" x14ac:dyDescent="0.35">
      <c r="A1134" t="s">
        <v>14</v>
      </c>
      <c r="B1134" t="s">
        <v>10</v>
      </c>
      <c r="C1134" t="s">
        <v>11</v>
      </c>
      <c r="H1134">
        <f>IF(B1134="female", 0, 1)</f>
        <v>1</v>
      </c>
      <c r="I1134">
        <f>IF(C1134= "yes", 1, 0)</f>
        <v>0</v>
      </c>
      <c r="J1134">
        <v>57</v>
      </c>
      <c r="K1134">
        <v>40.28</v>
      </c>
      <c r="L1134">
        <v>0</v>
      </c>
      <c r="M1134">
        <v>20709.020339999999</v>
      </c>
    </row>
    <row r="1135" spans="1:13" x14ac:dyDescent="0.35">
      <c r="A1135" t="s">
        <v>13</v>
      </c>
      <c r="B1135" t="s">
        <v>7</v>
      </c>
      <c r="C1135" t="s">
        <v>11</v>
      </c>
      <c r="H1135">
        <f>IF(B1135="female", 0, 1)</f>
        <v>0</v>
      </c>
      <c r="I1135">
        <f>IF(C1135= "yes", 1, 0)</f>
        <v>0</v>
      </c>
      <c r="J1135">
        <v>52</v>
      </c>
      <c r="K1135">
        <v>18.335000000000001</v>
      </c>
      <c r="L1135">
        <v>0</v>
      </c>
      <c r="M1135">
        <v>9991.0376500000002</v>
      </c>
    </row>
    <row r="1136" spans="1:13" x14ac:dyDescent="0.35">
      <c r="A1136" t="s">
        <v>13</v>
      </c>
      <c r="B1136" t="s">
        <v>10</v>
      </c>
      <c r="C1136" t="s">
        <v>11</v>
      </c>
      <c r="H1136">
        <f>IF(B1136="female", 0, 1)</f>
        <v>1</v>
      </c>
      <c r="I1136">
        <f>IF(C1136= "yes", 1, 0)</f>
        <v>0</v>
      </c>
      <c r="J1136">
        <v>28</v>
      </c>
      <c r="K1136">
        <v>33.82</v>
      </c>
      <c r="L1136">
        <v>0</v>
      </c>
      <c r="M1136">
        <v>19673.335729999999</v>
      </c>
    </row>
    <row r="1137" spans="1:13" x14ac:dyDescent="0.35">
      <c r="A1137" t="s">
        <v>13</v>
      </c>
      <c r="B1137" t="s">
        <v>7</v>
      </c>
      <c r="C1137" t="s">
        <v>11</v>
      </c>
      <c r="H1137">
        <f>IF(B1137="female", 0, 1)</f>
        <v>0</v>
      </c>
      <c r="I1137">
        <f>IF(C1137= "yes", 1, 0)</f>
        <v>0</v>
      </c>
      <c r="J1137">
        <v>50</v>
      </c>
      <c r="K1137">
        <v>28.12</v>
      </c>
      <c r="L1137">
        <v>3</v>
      </c>
      <c r="M1137">
        <v>11085.586799999999</v>
      </c>
    </row>
    <row r="1138" spans="1:13" x14ac:dyDescent="0.35">
      <c r="A1138" t="s">
        <v>9</v>
      </c>
      <c r="B1138" t="s">
        <v>7</v>
      </c>
      <c r="C1138" t="s">
        <v>11</v>
      </c>
      <c r="H1138">
        <f>IF(B1138="female", 0, 1)</f>
        <v>0</v>
      </c>
      <c r="I1138">
        <f>IF(C1138= "yes", 1, 0)</f>
        <v>0</v>
      </c>
      <c r="J1138">
        <v>44</v>
      </c>
      <c r="K1138">
        <v>25</v>
      </c>
      <c r="L1138">
        <v>1</v>
      </c>
      <c r="M1138">
        <v>7623.518</v>
      </c>
    </row>
    <row r="1139" spans="1:13" x14ac:dyDescent="0.35">
      <c r="A1139" t="s">
        <v>13</v>
      </c>
      <c r="B1139" t="s">
        <v>7</v>
      </c>
      <c r="C1139" t="s">
        <v>11</v>
      </c>
      <c r="H1139">
        <f>IF(B1139="female", 0, 1)</f>
        <v>0</v>
      </c>
      <c r="I1139">
        <f>IF(C1139= "yes", 1, 0)</f>
        <v>0</v>
      </c>
      <c r="J1139">
        <v>26</v>
      </c>
      <c r="K1139">
        <v>22.23</v>
      </c>
      <c r="L1139">
        <v>0</v>
      </c>
      <c r="M1139">
        <v>3176.2876999999999</v>
      </c>
    </row>
    <row r="1140" spans="1:13" x14ac:dyDescent="0.35">
      <c r="A1140" t="s">
        <v>12</v>
      </c>
      <c r="B1140" t="s">
        <v>10</v>
      </c>
      <c r="C1140" t="s">
        <v>11</v>
      </c>
      <c r="H1140">
        <f>IF(B1140="female", 0, 1)</f>
        <v>1</v>
      </c>
      <c r="I1140">
        <f>IF(C1140= "yes", 1, 0)</f>
        <v>0</v>
      </c>
      <c r="J1140">
        <v>33</v>
      </c>
      <c r="K1140">
        <v>30.25</v>
      </c>
      <c r="L1140">
        <v>0</v>
      </c>
      <c r="M1140">
        <v>3704.3544999999999</v>
      </c>
    </row>
    <row r="1141" spans="1:13" x14ac:dyDescent="0.35">
      <c r="A1141" t="s">
        <v>13</v>
      </c>
      <c r="B1141" t="s">
        <v>7</v>
      </c>
      <c r="C1141" t="s">
        <v>8</v>
      </c>
      <c r="H1141">
        <f>IF(B1141="female", 0, 1)</f>
        <v>0</v>
      </c>
      <c r="I1141">
        <f>IF(C1141= "yes", 1, 0)</f>
        <v>1</v>
      </c>
      <c r="J1141">
        <v>19</v>
      </c>
      <c r="K1141">
        <v>32.49</v>
      </c>
      <c r="L1141">
        <v>0</v>
      </c>
      <c r="M1141">
        <v>36898.733079999998</v>
      </c>
    </row>
    <row r="1142" spans="1:13" x14ac:dyDescent="0.35">
      <c r="A1142" t="s">
        <v>12</v>
      </c>
      <c r="B1142" t="s">
        <v>10</v>
      </c>
      <c r="C1142" t="s">
        <v>11</v>
      </c>
      <c r="H1142">
        <f>IF(B1142="female", 0, 1)</f>
        <v>1</v>
      </c>
      <c r="I1142">
        <f>IF(C1142= "yes", 1, 0)</f>
        <v>0</v>
      </c>
      <c r="J1142">
        <v>50</v>
      </c>
      <c r="K1142">
        <v>37.07</v>
      </c>
      <c r="L1142">
        <v>1</v>
      </c>
      <c r="M1142">
        <v>9048.0272999999997</v>
      </c>
    </row>
    <row r="1143" spans="1:13" x14ac:dyDescent="0.35">
      <c r="A1143" t="s">
        <v>9</v>
      </c>
      <c r="B1143" t="s">
        <v>7</v>
      </c>
      <c r="C1143" t="s">
        <v>11</v>
      </c>
      <c r="H1143">
        <f>IF(B1143="female", 0, 1)</f>
        <v>0</v>
      </c>
      <c r="I1143">
        <f>IF(C1143= "yes", 1, 0)</f>
        <v>0</v>
      </c>
      <c r="J1143">
        <v>41</v>
      </c>
      <c r="K1143">
        <v>32.6</v>
      </c>
      <c r="L1143">
        <v>3</v>
      </c>
      <c r="M1143">
        <v>7954.5169999999998</v>
      </c>
    </row>
    <row r="1144" spans="1:13" x14ac:dyDescent="0.35">
      <c r="A1144" t="s">
        <v>12</v>
      </c>
      <c r="B1144" t="s">
        <v>7</v>
      </c>
      <c r="C1144" t="s">
        <v>11</v>
      </c>
      <c r="H1144">
        <f>IF(B1144="female", 0, 1)</f>
        <v>0</v>
      </c>
      <c r="I1144">
        <f>IF(C1144= "yes", 1, 0)</f>
        <v>0</v>
      </c>
      <c r="J1144">
        <v>52</v>
      </c>
      <c r="K1144">
        <v>24.86</v>
      </c>
      <c r="L1144">
        <v>0</v>
      </c>
      <c r="M1144">
        <v>27117.993780000001</v>
      </c>
    </row>
    <row r="1145" spans="1:13" x14ac:dyDescent="0.35">
      <c r="A1145" t="s">
        <v>12</v>
      </c>
      <c r="B1145" t="s">
        <v>10</v>
      </c>
      <c r="C1145" t="s">
        <v>11</v>
      </c>
      <c r="H1145">
        <f>IF(B1145="female", 0, 1)</f>
        <v>1</v>
      </c>
      <c r="I1145">
        <f>IF(C1145= "yes", 1, 0)</f>
        <v>0</v>
      </c>
      <c r="J1145">
        <v>39</v>
      </c>
      <c r="K1145">
        <v>32.340000000000003</v>
      </c>
      <c r="L1145">
        <v>2</v>
      </c>
      <c r="M1145">
        <v>6338.0756000000001</v>
      </c>
    </row>
    <row r="1146" spans="1:13" x14ac:dyDescent="0.35">
      <c r="A1146" t="s">
        <v>9</v>
      </c>
      <c r="B1146" t="s">
        <v>10</v>
      </c>
      <c r="C1146" t="s">
        <v>11</v>
      </c>
      <c r="H1146">
        <f>IF(B1146="female", 0, 1)</f>
        <v>1</v>
      </c>
      <c r="I1146">
        <f>IF(C1146= "yes", 1, 0)</f>
        <v>0</v>
      </c>
      <c r="J1146">
        <v>50</v>
      </c>
      <c r="K1146">
        <v>32.299999999999997</v>
      </c>
      <c r="L1146">
        <v>2</v>
      </c>
      <c r="M1146">
        <v>9630.3970000000008</v>
      </c>
    </row>
    <row r="1147" spans="1:13" x14ac:dyDescent="0.35">
      <c r="A1147" t="s">
        <v>13</v>
      </c>
      <c r="B1147" t="s">
        <v>10</v>
      </c>
      <c r="C1147" t="s">
        <v>11</v>
      </c>
      <c r="H1147">
        <f>IF(B1147="female", 0, 1)</f>
        <v>1</v>
      </c>
      <c r="I1147">
        <f>IF(C1147= "yes", 1, 0)</f>
        <v>0</v>
      </c>
      <c r="J1147">
        <v>52</v>
      </c>
      <c r="K1147">
        <v>32.774999999999999</v>
      </c>
      <c r="L1147">
        <v>3</v>
      </c>
      <c r="M1147">
        <v>11289.10925</v>
      </c>
    </row>
    <row r="1148" spans="1:13" x14ac:dyDescent="0.35">
      <c r="A1148" t="s">
        <v>9</v>
      </c>
      <c r="B1148" t="s">
        <v>10</v>
      </c>
      <c r="C1148" t="s">
        <v>8</v>
      </c>
      <c r="H1148">
        <f>IF(B1148="female", 0, 1)</f>
        <v>1</v>
      </c>
      <c r="I1148">
        <f>IF(C1148= "yes", 1, 0)</f>
        <v>1</v>
      </c>
      <c r="J1148">
        <v>60</v>
      </c>
      <c r="K1148">
        <v>32.799999999999997</v>
      </c>
      <c r="L1148">
        <v>0</v>
      </c>
      <c r="M1148">
        <v>52590.829389999999</v>
      </c>
    </row>
    <row r="1149" spans="1:13" x14ac:dyDescent="0.35">
      <c r="A1149" t="s">
        <v>13</v>
      </c>
      <c r="B1149" t="s">
        <v>7</v>
      </c>
      <c r="C1149" t="s">
        <v>11</v>
      </c>
      <c r="H1149">
        <f>IF(B1149="female", 0, 1)</f>
        <v>0</v>
      </c>
      <c r="I1149">
        <f>IF(C1149= "yes", 1, 0)</f>
        <v>0</v>
      </c>
      <c r="J1149">
        <v>20</v>
      </c>
      <c r="K1149">
        <v>31.92</v>
      </c>
      <c r="L1149">
        <v>0</v>
      </c>
      <c r="M1149">
        <v>2261.5688</v>
      </c>
    </row>
    <row r="1150" spans="1:13" x14ac:dyDescent="0.35">
      <c r="A1150" t="s">
        <v>9</v>
      </c>
      <c r="B1150" t="s">
        <v>10</v>
      </c>
      <c r="C1150" t="s">
        <v>11</v>
      </c>
      <c r="H1150">
        <f>IF(B1150="female", 0, 1)</f>
        <v>1</v>
      </c>
      <c r="I1150">
        <f>IF(C1150= "yes", 1, 0)</f>
        <v>0</v>
      </c>
      <c r="J1150">
        <v>55</v>
      </c>
      <c r="K1150">
        <v>21.5</v>
      </c>
      <c r="L1150">
        <v>1</v>
      </c>
      <c r="M1150">
        <v>10791.96</v>
      </c>
    </row>
    <row r="1151" spans="1:13" x14ac:dyDescent="0.35">
      <c r="A1151" t="s">
        <v>9</v>
      </c>
      <c r="B1151" t="s">
        <v>10</v>
      </c>
      <c r="C1151" t="s">
        <v>11</v>
      </c>
      <c r="H1151">
        <f>IF(B1151="female", 0, 1)</f>
        <v>1</v>
      </c>
      <c r="I1151">
        <f>IF(C1151= "yes", 1, 0)</f>
        <v>0</v>
      </c>
      <c r="J1151">
        <v>42</v>
      </c>
      <c r="K1151">
        <v>34.1</v>
      </c>
      <c r="L1151">
        <v>0</v>
      </c>
      <c r="M1151">
        <v>5979.7309999999998</v>
      </c>
    </row>
    <row r="1152" spans="1:13" x14ac:dyDescent="0.35">
      <c r="A1152" t="s">
        <v>14</v>
      </c>
      <c r="B1152" t="s">
        <v>7</v>
      </c>
      <c r="C1152" t="s">
        <v>11</v>
      </c>
      <c r="H1152">
        <f>IF(B1152="female", 0, 1)</f>
        <v>0</v>
      </c>
      <c r="I1152">
        <f>IF(C1152= "yes", 1, 0)</f>
        <v>0</v>
      </c>
      <c r="J1152">
        <v>18</v>
      </c>
      <c r="K1152">
        <v>30.305</v>
      </c>
      <c r="L1152">
        <v>0</v>
      </c>
      <c r="M1152">
        <v>2203.7359499999998</v>
      </c>
    </row>
    <row r="1153" spans="1:13" x14ac:dyDescent="0.35">
      <c r="A1153" t="s">
        <v>13</v>
      </c>
      <c r="B1153" t="s">
        <v>7</v>
      </c>
      <c r="C1153" t="s">
        <v>11</v>
      </c>
      <c r="H1153">
        <f>IF(B1153="female", 0, 1)</f>
        <v>0</v>
      </c>
      <c r="I1153">
        <f>IF(C1153= "yes", 1, 0)</f>
        <v>0</v>
      </c>
      <c r="J1153">
        <v>58</v>
      </c>
      <c r="K1153">
        <v>36.479999999999997</v>
      </c>
      <c r="L1153">
        <v>0</v>
      </c>
      <c r="M1153">
        <v>12235.8392</v>
      </c>
    </row>
    <row r="1154" spans="1:13" x14ac:dyDescent="0.35">
      <c r="A1154" t="s">
        <v>12</v>
      </c>
      <c r="B1154" t="s">
        <v>7</v>
      </c>
      <c r="C1154" t="s">
        <v>8</v>
      </c>
      <c r="H1154">
        <f>IF(B1154="female", 0, 1)</f>
        <v>0</v>
      </c>
      <c r="I1154">
        <f>IF(C1154= "yes", 1, 0)</f>
        <v>1</v>
      </c>
      <c r="J1154">
        <v>43</v>
      </c>
      <c r="K1154">
        <v>32.56</v>
      </c>
      <c r="L1154">
        <v>3</v>
      </c>
      <c r="M1154">
        <v>40941.285400000001</v>
      </c>
    </row>
    <row r="1155" spans="1:13" x14ac:dyDescent="0.35">
      <c r="A1155" t="s">
        <v>13</v>
      </c>
      <c r="B1155" t="s">
        <v>7</v>
      </c>
      <c r="C1155" t="s">
        <v>11</v>
      </c>
      <c r="H1155">
        <f>IF(B1155="female", 0, 1)</f>
        <v>0</v>
      </c>
      <c r="I1155">
        <f>IF(C1155= "yes", 1, 0)</f>
        <v>0</v>
      </c>
      <c r="J1155">
        <v>35</v>
      </c>
      <c r="K1155">
        <v>35.814999999999998</v>
      </c>
      <c r="L1155">
        <v>1</v>
      </c>
      <c r="M1155">
        <v>5630.4578499999998</v>
      </c>
    </row>
    <row r="1156" spans="1:13" x14ac:dyDescent="0.35">
      <c r="A1156" t="s">
        <v>13</v>
      </c>
      <c r="B1156" t="s">
        <v>7</v>
      </c>
      <c r="C1156" t="s">
        <v>11</v>
      </c>
      <c r="H1156">
        <f>IF(B1156="female", 0, 1)</f>
        <v>0</v>
      </c>
      <c r="I1156">
        <f>IF(C1156= "yes", 1, 0)</f>
        <v>0</v>
      </c>
      <c r="J1156">
        <v>48</v>
      </c>
      <c r="K1156">
        <v>27.93</v>
      </c>
      <c r="L1156">
        <v>4</v>
      </c>
      <c r="M1156">
        <v>11015.1747</v>
      </c>
    </row>
    <row r="1157" spans="1:13" x14ac:dyDescent="0.35">
      <c r="A1157" t="s">
        <v>14</v>
      </c>
      <c r="B1157" t="s">
        <v>7</v>
      </c>
      <c r="C1157" t="s">
        <v>11</v>
      </c>
      <c r="H1157">
        <f>IF(B1157="female", 0, 1)</f>
        <v>0</v>
      </c>
      <c r="I1157">
        <f>IF(C1157= "yes", 1, 0)</f>
        <v>0</v>
      </c>
      <c r="J1157">
        <v>36</v>
      </c>
      <c r="K1157">
        <v>22.135000000000002</v>
      </c>
      <c r="L1157">
        <v>3</v>
      </c>
      <c r="M1157">
        <v>7228.2156500000001</v>
      </c>
    </row>
    <row r="1158" spans="1:13" x14ac:dyDescent="0.35">
      <c r="A1158" t="s">
        <v>12</v>
      </c>
      <c r="B1158" t="s">
        <v>10</v>
      </c>
      <c r="C1158" t="s">
        <v>8</v>
      </c>
      <c r="H1158">
        <f>IF(B1158="female", 0, 1)</f>
        <v>1</v>
      </c>
      <c r="I1158">
        <f>IF(C1158= "yes", 1, 0)</f>
        <v>1</v>
      </c>
      <c r="J1158">
        <v>19</v>
      </c>
      <c r="K1158">
        <v>44.88</v>
      </c>
      <c r="L1158">
        <v>0</v>
      </c>
      <c r="M1158">
        <v>39722.746200000001</v>
      </c>
    </row>
    <row r="1159" spans="1:13" x14ac:dyDescent="0.35">
      <c r="A1159" t="s">
        <v>13</v>
      </c>
      <c r="B1159" t="s">
        <v>7</v>
      </c>
      <c r="C1159" t="s">
        <v>11</v>
      </c>
      <c r="H1159">
        <f>IF(B1159="female", 0, 1)</f>
        <v>0</v>
      </c>
      <c r="I1159">
        <f>IF(C1159= "yes", 1, 0)</f>
        <v>0</v>
      </c>
      <c r="J1159">
        <v>23</v>
      </c>
      <c r="K1159">
        <v>23.18</v>
      </c>
      <c r="L1159">
        <v>2</v>
      </c>
      <c r="M1159">
        <v>14426.073850000001</v>
      </c>
    </row>
    <row r="1160" spans="1:13" x14ac:dyDescent="0.35">
      <c r="A1160" t="s">
        <v>14</v>
      </c>
      <c r="B1160" t="s">
        <v>7</v>
      </c>
      <c r="C1160" t="s">
        <v>11</v>
      </c>
      <c r="H1160">
        <f>IF(B1160="female", 0, 1)</f>
        <v>0</v>
      </c>
      <c r="I1160">
        <f>IF(C1160= "yes", 1, 0)</f>
        <v>0</v>
      </c>
      <c r="J1160">
        <v>20</v>
      </c>
      <c r="K1160">
        <v>30.59</v>
      </c>
      <c r="L1160">
        <v>0</v>
      </c>
      <c r="M1160">
        <v>2459.7201</v>
      </c>
    </row>
    <row r="1161" spans="1:13" x14ac:dyDescent="0.35">
      <c r="A1161" t="s">
        <v>9</v>
      </c>
      <c r="B1161" t="s">
        <v>7</v>
      </c>
      <c r="C1161" t="s">
        <v>11</v>
      </c>
      <c r="H1161">
        <f>IF(B1161="female", 0, 1)</f>
        <v>0</v>
      </c>
      <c r="I1161">
        <f>IF(C1161= "yes", 1, 0)</f>
        <v>0</v>
      </c>
      <c r="J1161">
        <v>32</v>
      </c>
      <c r="K1161">
        <v>41.1</v>
      </c>
      <c r="L1161">
        <v>0</v>
      </c>
      <c r="M1161">
        <v>3989.8409999999999</v>
      </c>
    </row>
    <row r="1162" spans="1:13" x14ac:dyDescent="0.35">
      <c r="A1162" t="s">
        <v>13</v>
      </c>
      <c r="B1162" t="s">
        <v>7</v>
      </c>
      <c r="C1162" t="s">
        <v>11</v>
      </c>
      <c r="H1162">
        <f>IF(B1162="female", 0, 1)</f>
        <v>0</v>
      </c>
      <c r="I1162">
        <f>IF(C1162= "yes", 1, 0)</f>
        <v>0</v>
      </c>
      <c r="J1162">
        <v>43</v>
      </c>
      <c r="K1162">
        <v>34.58</v>
      </c>
      <c r="L1162">
        <v>1</v>
      </c>
      <c r="M1162">
        <v>7727.2532000000001</v>
      </c>
    </row>
    <row r="1163" spans="1:13" x14ac:dyDescent="0.35">
      <c r="A1163" t="s">
        <v>12</v>
      </c>
      <c r="B1163" t="s">
        <v>10</v>
      </c>
      <c r="C1163" t="s">
        <v>11</v>
      </c>
      <c r="H1163">
        <f>IF(B1163="female", 0, 1)</f>
        <v>1</v>
      </c>
      <c r="I1163">
        <f>IF(C1163= "yes", 1, 0)</f>
        <v>0</v>
      </c>
      <c r="J1163">
        <v>34</v>
      </c>
      <c r="K1163">
        <v>42.13</v>
      </c>
      <c r="L1163">
        <v>2</v>
      </c>
      <c r="M1163">
        <v>5124.1886999999997</v>
      </c>
    </row>
    <row r="1164" spans="1:13" x14ac:dyDescent="0.35">
      <c r="A1164" t="s">
        <v>12</v>
      </c>
      <c r="B1164" t="s">
        <v>10</v>
      </c>
      <c r="C1164" t="s">
        <v>11</v>
      </c>
      <c r="H1164">
        <f>IF(B1164="female", 0, 1)</f>
        <v>1</v>
      </c>
      <c r="I1164">
        <f>IF(C1164= "yes", 1, 0)</f>
        <v>0</v>
      </c>
      <c r="J1164">
        <v>30</v>
      </c>
      <c r="K1164">
        <v>38.83</v>
      </c>
      <c r="L1164">
        <v>1</v>
      </c>
      <c r="M1164">
        <v>18963.171920000001</v>
      </c>
    </row>
    <row r="1165" spans="1:13" x14ac:dyDescent="0.35">
      <c r="A1165" t="s">
        <v>14</v>
      </c>
      <c r="B1165" t="s">
        <v>7</v>
      </c>
      <c r="C1165" t="s">
        <v>11</v>
      </c>
      <c r="H1165">
        <f>IF(B1165="female", 0, 1)</f>
        <v>0</v>
      </c>
      <c r="I1165">
        <f>IF(C1165= "yes", 1, 0)</f>
        <v>0</v>
      </c>
      <c r="J1165">
        <v>18</v>
      </c>
      <c r="K1165">
        <v>28.215</v>
      </c>
      <c r="L1165">
        <v>0</v>
      </c>
      <c r="M1165">
        <v>2200.8308499999998</v>
      </c>
    </row>
    <row r="1166" spans="1:13" x14ac:dyDescent="0.35">
      <c r="A1166" t="s">
        <v>13</v>
      </c>
      <c r="B1166" t="s">
        <v>7</v>
      </c>
      <c r="C1166" t="s">
        <v>11</v>
      </c>
      <c r="H1166">
        <f>IF(B1166="female", 0, 1)</f>
        <v>0</v>
      </c>
      <c r="I1166">
        <f>IF(C1166= "yes", 1, 0)</f>
        <v>0</v>
      </c>
      <c r="J1166">
        <v>41</v>
      </c>
      <c r="K1166">
        <v>28.31</v>
      </c>
      <c r="L1166">
        <v>1</v>
      </c>
      <c r="M1166">
        <v>7153.5538999999999</v>
      </c>
    </row>
    <row r="1167" spans="1:13" x14ac:dyDescent="0.35">
      <c r="A1167" t="s">
        <v>14</v>
      </c>
      <c r="B1167" t="s">
        <v>7</v>
      </c>
      <c r="C1167" t="s">
        <v>11</v>
      </c>
      <c r="H1167">
        <f>IF(B1167="female", 0, 1)</f>
        <v>0</v>
      </c>
      <c r="I1167">
        <f>IF(C1167= "yes", 1, 0)</f>
        <v>0</v>
      </c>
      <c r="J1167">
        <v>35</v>
      </c>
      <c r="K1167">
        <v>26.125</v>
      </c>
      <c r="L1167">
        <v>0</v>
      </c>
      <c r="M1167">
        <v>5227.9887500000004</v>
      </c>
    </row>
    <row r="1168" spans="1:13" x14ac:dyDescent="0.35">
      <c r="A1168" t="s">
        <v>12</v>
      </c>
      <c r="B1168" t="s">
        <v>10</v>
      </c>
      <c r="C1168" t="s">
        <v>11</v>
      </c>
      <c r="H1168">
        <f>IF(B1168="female", 0, 1)</f>
        <v>1</v>
      </c>
      <c r="I1168">
        <f>IF(C1168= "yes", 1, 0)</f>
        <v>0</v>
      </c>
      <c r="J1168">
        <v>57</v>
      </c>
      <c r="K1168">
        <v>40.369999999999997</v>
      </c>
      <c r="L1168">
        <v>0</v>
      </c>
      <c r="M1168">
        <v>10982.5013</v>
      </c>
    </row>
    <row r="1169" spans="1:13" x14ac:dyDescent="0.35">
      <c r="A1169" t="s">
        <v>9</v>
      </c>
      <c r="B1169" t="s">
        <v>7</v>
      </c>
      <c r="C1169" t="s">
        <v>11</v>
      </c>
      <c r="H1169">
        <f>IF(B1169="female", 0, 1)</f>
        <v>0</v>
      </c>
      <c r="I1169">
        <f>IF(C1169= "yes", 1, 0)</f>
        <v>0</v>
      </c>
      <c r="J1169">
        <v>29</v>
      </c>
      <c r="K1169">
        <v>24.6</v>
      </c>
      <c r="L1169">
        <v>2</v>
      </c>
      <c r="M1169">
        <v>4529.4769999999999</v>
      </c>
    </row>
    <row r="1170" spans="1:13" x14ac:dyDescent="0.35">
      <c r="A1170" t="s">
        <v>9</v>
      </c>
      <c r="B1170" t="s">
        <v>10</v>
      </c>
      <c r="C1170" t="s">
        <v>11</v>
      </c>
      <c r="H1170">
        <f>IF(B1170="female", 0, 1)</f>
        <v>1</v>
      </c>
      <c r="I1170">
        <f>IF(C1170= "yes", 1, 0)</f>
        <v>0</v>
      </c>
      <c r="J1170">
        <v>32</v>
      </c>
      <c r="K1170">
        <v>35.200000000000003</v>
      </c>
      <c r="L1170">
        <v>2</v>
      </c>
      <c r="M1170">
        <v>4670.6400000000003</v>
      </c>
    </row>
    <row r="1171" spans="1:13" x14ac:dyDescent="0.35">
      <c r="A1171" t="s">
        <v>13</v>
      </c>
      <c r="B1171" t="s">
        <v>7</v>
      </c>
      <c r="C1171" t="s">
        <v>11</v>
      </c>
      <c r="H1171">
        <f>IF(B1171="female", 0, 1)</f>
        <v>0</v>
      </c>
      <c r="I1171">
        <f>IF(C1171= "yes", 1, 0)</f>
        <v>0</v>
      </c>
      <c r="J1171">
        <v>37</v>
      </c>
      <c r="K1171">
        <v>34.104999999999997</v>
      </c>
      <c r="L1171">
        <v>1</v>
      </c>
      <c r="M1171">
        <v>6112.3529500000004</v>
      </c>
    </row>
    <row r="1172" spans="1:13" x14ac:dyDescent="0.35">
      <c r="A1172" t="s">
        <v>14</v>
      </c>
      <c r="B1172" t="s">
        <v>10</v>
      </c>
      <c r="C1172" t="s">
        <v>8</v>
      </c>
      <c r="H1172">
        <f>IF(B1172="female", 0, 1)</f>
        <v>1</v>
      </c>
      <c r="I1172">
        <f>IF(C1172= "yes", 1, 0)</f>
        <v>1</v>
      </c>
      <c r="J1172">
        <v>18</v>
      </c>
      <c r="K1172">
        <v>27.36</v>
      </c>
      <c r="L1172">
        <v>1</v>
      </c>
      <c r="M1172">
        <v>17178.682400000002</v>
      </c>
    </row>
    <row r="1173" spans="1:13" x14ac:dyDescent="0.35">
      <c r="A1173" t="s">
        <v>9</v>
      </c>
      <c r="B1173" t="s">
        <v>7</v>
      </c>
      <c r="C1173" t="s">
        <v>8</v>
      </c>
      <c r="H1173">
        <f>IF(B1173="female", 0, 1)</f>
        <v>0</v>
      </c>
      <c r="I1173">
        <f>IF(C1173= "yes", 1, 0)</f>
        <v>1</v>
      </c>
      <c r="J1173">
        <v>43</v>
      </c>
      <c r="K1173">
        <v>26.7</v>
      </c>
      <c r="L1173">
        <v>2</v>
      </c>
      <c r="M1173">
        <v>22478.6</v>
      </c>
    </row>
    <row r="1174" spans="1:13" x14ac:dyDescent="0.35">
      <c r="A1174" t="s">
        <v>12</v>
      </c>
      <c r="B1174" t="s">
        <v>7</v>
      </c>
      <c r="C1174" t="s">
        <v>11</v>
      </c>
      <c r="H1174">
        <f>IF(B1174="female", 0, 1)</f>
        <v>0</v>
      </c>
      <c r="I1174">
        <f>IF(C1174= "yes", 1, 0)</f>
        <v>0</v>
      </c>
      <c r="J1174">
        <v>56</v>
      </c>
      <c r="K1174">
        <v>41.91</v>
      </c>
      <c r="L1174">
        <v>0</v>
      </c>
      <c r="M1174">
        <v>11093.6229</v>
      </c>
    </row>
    <row r="1175" spans="1:13" x14ac:dyDescent="0.35">
      <c r="A1175" t="s">
        <v>13</v>
      </c>
      <c r="B1175" t="s">
        <v>10</v>
      </c>
      <c r="C1175" t="s">
        <v>11</v>
      </c>
      <c r="H1175">
        <f>IF(B1175="female", 0, 1)</f>
        <v>1</v>
      </c>
      <c r="I1175">
        <f>IF(C1175= "yes", 1, 0)</f>
        <v>0</v>
      </c>
      <c r="J1175">
        <v>38</v>
      </c>
      <c r="K1175">
        <v>29.26</v>
      </c>
      <c r="L1175">
        <v>2</v>
      </c>
      <c r="M1175">
        <v>6457.8433999999997</v>
      </c>
    </row>
    <row r="1176" spans="1:13" x14ac:dyDescent="0.35">
      <c r="A1176" t="s">
        <v>13</v>
      </c>
      <c r="B1176" t="s">
        <v>10</v>
      </c>
      <c r="C1176" t="s">
        <v>11</v>
      </c>
      <c r="H1176">
        <f>IF(B1176="female", 0, 1)</f>
        <v>1</v>
      </c>
      <c r="I1176">
        <f>IF(C1176= "yes", 1, 0)</f>
        <v>0</v>
      </c>
      <c r="J1176">
        <v>29</v>
      </c>
      <c r="K1176">
        <v>32.11</v>
      </c>
      <c r="L1176">
        <v>2</v>
      </c>
      <c r="M1176">
        <v>4433.9159</v>
      </c>
    </row>
    <row r="1177" spans="1:13" x14ac:dyDescent="0.35">
      <c r="A1177" t="s">
        <v>9</v>
      </c>
      <c r="B1177" t="s">
        <v>7</v>
      </c>
      <c r="C1177" t="s">
        <v>11</v>
      </c>
      <c r="H1177">
        <f>IF(B1177="female", 0, 1)</f>
        <v>0</v>
      </c>
      <c r="I1177">
        <f>IF(C1177= "yes", 1, 0)</f>
        <v>0</v>
      </c>
      <c r="J1177">
        <v>22</v>
      </c>
      <c r="K1177">
        <v>27.1</v>
      </c>
      <c r="L1177">
        <v>0</v>
      </c>
      <c r="M1177">
        <v>2154.3609999999999</v>
      </c>
    </row>
    <row r="1178" spans="1:13" x14ac:dyDescent="0.35">
      <c r="A1178" t="s">
        <v>13</v>
      </c>
      <c r="B1178" t="s">
        <v>7</v>
      </c>
      <c r="C1178" t="s">
        <v>8</v>
      </c>
      <c r="H1178">
        <f>IF(B1178="female", 0, 1)</f>
        <v>0</v>
      </c>
      <c r="I1178">
        <f>IF(C1178= "yes", 1, 0)</f>
        <v>1</v>
      </c>
      <c r="J1178">
        <v>52</v>
      </c>
      <c r="K1178">
        <v>24.13</v>
      </c>
      <c r="L1178">
        <v>1</v>
      </c>
      <c r="M1178">
        <v>23887.662700000001</v>
      </c>
    </row>
    <row r="1179" spans="1:13" x14ac:dyDescent="0.35">
      <c r="A1179" t="s">
        <v>9</v>
      </c>
      <c r="B1179" t="s">
        <v>7</v>
      </c>
      <c r="C1179" t="s">
        <v>11</v>
      </c>
      <c r="H1179">
        <f>IF(B1179="female", 0, 1)</f>
        <v>0</v>
      </c>
      <c r="I1179">
        <f>IF(C1179= "yes", 1, 0)</f>
        <v>0</v>
      </c>
      <c r="J1179">
        <v>40</v>
      </c>
      <c r="K1179">
        <v>27.4</v>
      </c>
      <c r="L1179">
        <v>1</v>
      </c>
      <c r="M1179">
        <v>6496.8860000000004</v>
      </c>
    </row>
    <row r="1180" spans="1:13" x14ac:dyDescent="0.35">
      <c r="A1180" t="s">
        <v>14</v>
      </c>
      <c r="B1180" t="s">
        <v>7</v>
      </c>
      <c r="C1180" t="s">
        <v>11</v>
      </c>
      <c r="H1180">
        <f>IF(B1180="female", 0, 1)</f>
        <v>0</v>
      </c>
      <c r="I1180">
        <f>IF(C1180= "yes", 1, 0)</f>
        <v>0</v>
      </c>
      <c r="J1180">
        <v>23</v>
      </c>
      <c r="K1180">
        <v>34.865000000000002</v>
      </c>
      <c r="L1180">
        <v>0</v>
      </c>
      <c r="M1180">
        <v>2899.4893499999998</v>
      </c>
    </row>
    <row r="1181" spans="1:13" x14ac:dyDescent="0.35">
      <c r="A1181" t="s">
        <v>12</v>
      </c>
      <c r="B1181" t="s">
        <v>10</v>
      </c>
      <c r="C1181" t="s">
        <v>8</v>
      </c>
      <c r="H1181">
        <f>IF(B1181="female", 0, 1)</f>
        <v>1</v>
      </c>
      <c r="I1181">
        <f>IF(C1181= "yes", 1, 0)</f>
        <v>1</v>
      </c>
      <c r="J1181">
        <v>31</v>
      </c>
      <c r="K1181">
        <v>29.81</v>
      </c>
      <c r="L1181">
        <v>0</v>
      </c>
      <c r="M1181">
        <v>19350.368900000001</v>
      </c>
    </row>
    <row r="1182" spans="1:13" x14ac:dyDescent="0.35">
      <c r="A1182" t="s">
        <v>14</v>
      </c>
      <c r="B1182" t="s">
        <v>7</v>
      </c>
      <c r="C1182" t="s">
        <v>11</v>
      </c>
      <c r="H1182">
        <f>IF(B1182="female", 0, 1)</f>
        <v>0</v>
      </c>
      <c r="I1182">
        <f>IF(C1182= "yes", 1, 0)</f>
        <v>0</v>
      </c>
      <c r="J1182">
        <v>42</v>
      </c>
      <c r="K1182">
        <v>41.325000000000003</v>
      </c>
      <c r="L1182">
        <v>1</v>
      </c>
      <c r="M1182">
        <v>7650.7737500000003</v>
      </c>
    </row>
    <row r="1183" spans="1:13" x14ac:dyDescent="0.35">
      <c r="A1183" t="s">
        <v>13</v>
      </c>
      <c r="B1183" t="s">
        <v>7</v>
      </c>
      <c r="C1183" t="s">
        <v>11</v>
      </c>
      <c r="H1183">
        <f>IF(B1183="female", 0, 1)</f>
        <v>0</v>
      </c>
      <c r="I1183">
        <f>IF(C1183= "yes", 1, 0)</f>
        <v>0</v>
      </c>
      <c r="J1183">
        <v>24</v>
      </c>
      <c r="K1183">
        <v>29.925000000000001</v>
      </c>
      <c r="L1183">
        <v>0</v>
      </c>
      <c r="M1183">
        <v>2850.6837500000001</v>
      </c>
    </row>
    <row r="1184" spans="1:13" x14ac:dyDescent="0.35">
      <c r="A1184" t="s">
        <v>9</v>
      </c>
      <c r="B1184" t="s">
        <v>7</v>
      </c>
      <c r="C1184" t="s">
        <v>11</v>
      </c>
      <c r="H1184">
        <f>IF(B1184="female", 0, 1)</f>
        <v>0</v>
      </c>
      <c r="I1184">
        <f>IF(C1184= "yes", 1, 0)</f>
        <v>0</v>
      </c>
      <c r="J1184">
        <v>25</v>
      </c>
      <c r="K1184">
        <v>30.3</v>
      </c>
      <c r="L1184">
        <v>0</v>
      </c>
      <c r="M1184">
        <v>2632.9920000000002</v>
      </c>
    </row>
    <row r="1185" spans="1:13" x14ac:dyDescent="0.35">
      <c r="A1185" t="s">
        <v>14</v>
      </c>
      <c r="B1185" t="s">
        <v>7</v>
      </c>
      <c r="C1185" t="s">
        <v>11</v>
      </c>
      <c r="H1185">
        <f>IF(B1185="female", 0, 1)</f>
        <v>0</v>
      </c>
      <c r="I1185">
        <f>IF(C1185= "yes", 1, 0)</f>
        <v>0</v>
      </c>
      <c r="J1185">
        <v>48</v>
      </c>
      <c r="K1185">
        <v>27.36</v>
      </c>
      <c r="L1185">
        <v>1</v>
      </c>
      <c r="M1185">
        <v>9447.3824000000004</v>
      </c>
    </row>
    <row r="1186" spans="1:13" x14ac:dyDescent="0.35">
      <c r="A1186" t="s">
        <v>12</v>
      </c>
      <c r="B1186" t="s">
        <v>7</v>
      </c>
      <c r="C1186" t="s">
        <v>8</v>
      </c>
      <c r="H1186">
        <f>IF(B1186="female", 0, 1)</f>
        <v>0</v>
      </c>
      <c r="I1186">
        <f>IF(C1186= "yes", 1, 0)</f>
        <v>1</v>
      </c>
      <c r="J1186">
        <v>23</v>
      </c>
      <c r="K1186">
        <v>28.49</v>
      </c>
      <c r="L1186">
        <v>1</v>
      </c>
      <c r="M1186">
        <v>18328.238099999999</v>
      </c>
    </row>
    <row r="1187" spans="1:13" x14ac:dyDescent="0.35">
      <c r="A1187" t="s">
        <v>14</v>
      </c>
      <c r="B1187" t="s">
        <v>10</v>
      </c>
      <c r="C1187" t="s">
        <v>11</v>
      </c>
      <c r="H1187">
        <f>IF(B1187="female", 0, 1)</f>
        <v>1</v>
      </c>
      <c r="I1187">
        <f>IF(C1187= "yes", 1, 0)</f>
        <v>0</v>
      </c>
      <c r="J1187">
        <v>45</v>
      </c>
      <c r="K1187">
        <v>23.56</v>
      </c>
      <c r="L1187">
        <v>2</v>
      </c>
      <c r="M1187">
        <v>8603.8233999999993</v>
      </c>
    </row>
    <row r="1188" spans="1:13" x14ac:dyDescent="0.35">
      <c r="A1188" t="s">
        <v>13</v>
      </c>
      <c r="B1188" t="s">
        <v>10</v>
      </c>
      <c r="C1188" t="s">
        <v>8</v>
      </c>
      <c r="H1188">
        <f>IF(B1188="female", 0, 1)</f>
        <v>1</v>
      </c>
      <c r="I1188">
        <f>IF(C1188= "yes", 1, 0)</f>
        <v>1</v>
      </c>
      <c r="J1188">
        <v>20</v>
      </c>
      <c r="K1188">
        <v>35.625</v>
      </c>
      <c r="L1188">
        <v>3</v>
      </c>
      <c r="M1188">
        <v>37465.34375</v>
      </c>
    </row>
    <row r="1189" spans="1:13" x14ac:dyDescent="0.35">
      <c r="A1189" t="s">
        <v>13</v>
      </c>
      <c r="B1189" t="s">
        <v>7</v>
      </c>
      <c r="C1189" t="s">
        <v>11</v>
      </c>
      <c r="H1189">
        <f>IF(B1189="female", 0, 1)</f>
        <v>0</v>
      </c>
      <c r="I1189">
        <f>IF(C1189= "yes", 1, 0)</f>
        <v>0</v>
      </c>
      <c r="J1189">
        <v>62</v>
      </c>
      <c r="K1189">
        <v>32.68</v>
      </c>
      <c r="L1189">
        <v>0</v>
      </c>
      <c r="M1189">
        <v>13844.797200000001</v>
      </c>
    </row>
    <row r="1190" spans="1:13" x14ac:dyDescent="0.35">
      <c r="A1190" t="s">
        <v>14</v>
      </c>
      <c r="B1190" t="s">
        <v>7</v>
      </c>
      <c r="C1190" t="s">
        <v>8</v>
      </c>
      <c r="H1190">
        <f>IF(B1190="female", 0, 1)</f>
        <v>0</v>
      </c>
      <c r="I1190">
        <f>IF(C1190= "yes", 1, 0)</f>
        <v>1</v>
      </c>
      <c r="J1190">
        <v>43</v>
      </c>
      <c r="K1190">
        <v>25.27</v>
      </c>
      <c r="L1190">
        <v>1</v>
      </c>
      <c r="M1190">
        <v>21771.3423</v>
      </c>
    </row>
    <row r="1191" spans="1:13" x14ac:dyDescent="0.35">
      <c r="A1191" t="s">
        <v>9</v>
      </c>
      <c r="B1191" t="s">
        <v>7</v>
      </c>
      <c r="C1191" t="s">
        <v>11</v>
      </c>
      <c r="H1191">
        <f>IF(B1191="female", 0, 1)</f>
        <v>0</v>
      </c>
      <c r="I1191">
        <f>IF(C1191= "yes", 1, 0)</f>
        <v>0</v>
      </c>
      <c r="J1191">
        <v>23</v>
      </c>
      <c r="K1191">
        <v>28</v>
      </c>
      <c r="L1191">
        <v>0</v>
      </c>
      <c r="M1191">
        <v>13126.677449999999</v>
      </c>
    </row>
    <row r="1192" spans="1:13" x14ac:dyDescent="0.35">
      <c r="A1192" t="s">
        <v>13</v>
      </c>
      <c r="B1192" t="s">
        <v>7</v>
      </c>
      <c r="C1192" t="s">
        <v>11</v>
      </c>
      <c r="H1192">
        <f>IF(B1192="female", 0, 1)</f>
        <v>0</v>
      </c>
      <c r="I1192">
        <f>IF(C1192= "yes", 1, 0)</f>
        <v>0</v>
      </c>
      <c r="J1192">
        <v>31</v>
      </c>
      <c r="K1192">
        <v>32.774999999999999</v>
      </c>
      <c r="L1192">
        <v>2</v>
      </c>
      <c r="M1192">
        <v>5327.4002499999997</v>
      </c>
    </row>
    <row r="1193" spans="1:13" x14ac:dyDescent="0.35">
      <c r="A1193" t="s">
        <v>14</v>
      </c>
      <c r="B1193" t="s">
        <v>7</v>
      </c>
      <c r="C1193" t="s">
        <v>11</v>
      </c>
      <c r="H1193">
        <f>IF(B1193="female", 0, 1)</f>
        <v>0</v>
      </c>
      <c r="I1193">
        <f>IF(C1193= "yes", 1, 0)</f>
        <v>0</v>
      </c>
      <c r="J1193">
        <v>41</v>
      </c>
      <c r="K1193">
        <v>21.754999999999999</v>
      </c>
      <c r="L1193">
        <v>1</v>
      </c>
      <c r="M1193">
        <v>13725.47184</v>
      </c>
    </row>
    <row r="1194" spans="1:13" x14ac:dyDescent="0.35">
      <c r="A1194" t="s">
        <v>14</v>
      </c>
      <c r="B1194" t="s">
        <v>7</v>
      </c>
      <c r="C1194" t="s">
        <v>11</v>
      </c>
      <c r="H1194">
        <f>IF(B1194="female", 0, 1)</f>
        <v>0</v>
      </c>
      <c r="I1194">
        <f>IF(C1194= "yes", 1, 0)</f>
        <v>0</v>
      </c>
      <c r="J1194">
        <v>58</v>
      </c>
      <c r="K1194">
        <v>32.395000000000003</v>
      </c>
      <c r="L1194">
        <v>1</v>
      </c>
      <c r="M1194">
        <v>13019.161050000001</v>
      </c>
    </row>
    <row r="1195" spans="1:13" x14ac:dyDescent="0.35">
      <c r="A1195" t="s">
        <v>13</v>
      </c>
      <c r="B1195" t="s">
        <v>7</v>
      </c>
      <c r="C1195" t="s">
        <v>11</v>
      </c>
      <c r="H1195">
        <f>IF(B1195="female", 0, 1)</f>
        <v>0</v>
      </c>
      <c r="I1195">
        <f>IF(C1195= "yes", 1, 0)</f>
        <v>0</v>
      </c>
      <c r="J1195">
        <v>48</v>
      </c>
      <c r="K1195">
        <v>36.575000000000003</v>
      </c>
      <c r="L1195">
        <v>0</v>
      </c>
      <c r="M1195">
        <v>8671.1912499999999</v>
      </c>
    </row>
    <row r="1196" spans="1:13" x14ac:dyDescent="0.35">
      <c r="A1196" t="s">
        <v>13</v>
      </c>
      <c r="B1196" t="s">
        <v>7</v>
      </c>
      <c r="C1196" t="s">
        <v>11</v>
      </c>
      <c r="H1196">
        <f>IF(B1196="female", 0, 1)</f>
        <v>0</v>
      </c>
      <c r="I1196">
        <f>IF(C1196= "yes", 1, 0)</f>
        <v>0</v>
      </c>
      <c r="J1196">
        <v>31</v>
      </c>
      <c r="K1196">
        <v>21.754999999999999</v>
      </c>
      <c r="L1196">
        <v>0</v>
      </c>
      <c r="M1196">
        <v>4134.0824499999999</v>
      </c>
    </row>
    <row r="1197" spans="1:13" x14ac:dyDescent="0.35">
      <c r="A1197" t="s">
        <v>13</v>
      </c>
      <c r="B1197" t="s">
        <v>7</v>
      </c>
      <c r="C1197" t="s">
        <v>11</v>
      </c>
      <c r="H1197">
        <f>IF(B1197="female", 0, 1)</f>
        <v>0</v>
      </c>
      <c r="I1197">
        <f>IF(C1197= "yes", 1, 0)</f>
        <v>0</v>
      </c>
      <c r="J1197">
        <v>19</v>
      </c>
      <c r="K1197">
        <v>27.93</v>
      </c>
      <c r="L1197">
        <v>3</v>
      </c>
      <c r="M1197">
        <v>18838.703659999999</v>
      </c>
    </row>
    <row r="1198" spans="1:13" x14ac:dyDescent="0.35">
      <c r="A1198" t="s">
        <v>13</v>
      </c>
      <c r="B1198" t="s">
        <v>7</v>
      </c>
      <c r="C1198" t="s">
        <v>8</v>
      </c>
      <c r="H1198">
        <f>IF(B1198="female", 0, 1)</f>
        <v>0</v>
      </c>
      <c r="I1198">
        <f>IF(C1198= "yes", 1, 0)</f>
        <v>1</v>
      </c>
      <c r="J1198">
        <v>19</v>
      </c>
      <c r="K1198">
        <v>30.02</v>
      </c>
      <c r="L1198">
        <v>0</v>
      </c>
      <c r="M1198">
        <v>33307.550799999997</v>
      </c>
    </row>
    <row r="1199" spans="1:13" x14ac:dyDescent="0.35">
      <c r="A1199" t="s">
        <v>12</v>
      </c>
      <c r="B1199" t="s">
        <v>10</v>
      </c>
      <c r="C1199" t="s">
        <v>11</v>
      </c>
      <c r="H1199">
        <f>IF(B1199="female", 0, 1)</f>
        <v>1</v>
      </c>
      <c r="I1199">
        <f>IF(C1199= "yes", 1, 0)</f>
        <v>0</v>
      </c>
      <c r="J1199">
        <v>41</v>
      </c>
      <c r="K1199">
        <v>33.549999999999997</v>
      </c>
      <c r="L1199">
        <v>0</v>
      </c>
      <c r="M1199">
        <v>5699.8374999999996</v>
      </c>
    </row>
    <row r="1200" spans="1:13" x14ac:dyDescent="0.35">
      <c r="A1200" t="s">
        <v>13</v>
      </c>
      <c r="B1200" t="s">
        <v>10</v>
      </c>
      <c r="C1200" t="s">
        <v>11</v>
      </c>
      <c r="H1200">
        <f>IF(B1200="female", 0, 1)</f>
        <v>1</v>
      </c>
      <c r="I1200">
        <f>IF(C1200= "yes", 1, 0)</f>
        <v>0</v>
      </c>
      <c r="J1200">
        <v>40</v>
      </c>
      <c r="K1200">
        <v>29.355</v>
      </c>
      <c r="L1200">
        <v>1</v>
      </c>
      <c r="M1200">
        <v>6393.6034499999996</v>
      </c>
    </row>
    <row r="1201" spans="1:13" x14ac:dyDescent="0.35">
      <c r="A1201" t="s">
        <v>9</v>
      </c>
      <c r="B1201" t="s">
        <v>7</v>
      </c>
      <c r="C1201" t="s">
        <v>11</v>
      </c>
      <c r="H1201">
        <f>IF(B1201="female", 0, 1)</f>
        <v>0</v>
      </c>
      <c r="I1201">
        <f>IF(C1201= "yes", 1, 0)</f>
        <v>0</v>
      </c>
      <c r="J1201">
        <v>31</v>
      </c>
      <c r="K1201">
        <v>25.8</v>
      </c>
      <c r="L1201">
        <v>2</v>
      </c>
      <c r="M1201">
        <v>4934.7049999999999</v>
      </c>
    </row>
    <row r="1202" spans="1:13" x14ac:dyDescent="0.35">
      <c r="A1202" t="s">
        <v>13</v>
      </c>
      <c r="B1202" t="s">
        <v>10</v>
      </c>
      <c r="C1202" t="s">
        <v>11</v>
      </c>
      <c r="H1202">
        <f>IF(B1202="female", 0, 1)</f>
        <v>1</v>
      </c>
      <c r="I1202">
        <f>IF(C1202= "yes", 1, 0)</f>
        <v>0</v>
      </c>
      <c r="J1202">
        <v>37</v>
      </c>
      <c r="K1202">
        <v>24.32</v>
      </c>
      <c r="L1202">
        <v>2</v>
      </c>
      <c r="M1202">
        <v>6198.7518</v>
      </c>
    </row>
    <row r="1203" spans="1:13" x14ac:dyDescent="0.35">
      <c r="A1203" t="s">
        <v>13</v>
      </c>
      <c r="B1203" t="s">
        <v>10</v>
      </c>
      <c r="C1203" t="s">
        <v>11</v>
      </c>
      <c r="H1203">
        <f>IF(B1203="female", 0, 1)</f>
        <v>1</v>
      </c>
      <c r="I1203">
        <f>IF(C1203= "yes", 1, 0)</f>
        <v>0</v>
      </c>
      <c r="J1203">
        <v>46</v>
      </c>
      <c r="K1203">
        <v>40.375</v>
      </c>
      <c r="L1203">
        <v>2</v>
      </c>
      <c r="M1203">
        <v>8733.2292500000003</v>
      </c>
    </row>
    <row r="1204" spans="1:13" x14ac:dyDescent="0.35">
      <c r="A1204" t="s">
        <v>13</v>
      </c>
      <c r="B1204" t="s">
        <v>10</v>
      </c>
      <c r="C1204" t="s">
        <v>11</v>
      </c>
      <c r="H1204">
        <f>IF(B1204="female", 0, 1)</f>
        <v>1</v>
      </c>
      <c r="I1204">
        <f>IF(C1204= "yes", 1, 0)</f>
        <v>0</v>
      </c>
      <c r="J1204">
        <v>22</v>
      </c>
      <c r="K1204">
        <v>32.11</v>
      </c>
      <c r="L1204">
        <v>0</v>
      </c>
      <c r="M1204">
        <v>2055.3249000000001</v>
      </c>
    </row>
    <row r="1205" spans="1:13" x14ac:dyDescent="0.35">
      <c r="A1205" t="s">
        <v>14</v>
      </c>
      <c r="B1205" t="s">
        <v>10</v>
      </c>
      <c r="C1205" t="s">
        <v>11</v>
      </c>
      <c r="H1205">
        <f>IF(B1205="female", 0, 1)</f>
        <v>1</v>
      </c>
      <c r="I1205">
        <f>IF(C1205= "yes", 1, 0)</f>
        <v>0</v>
      </c>
      <c r="J1205">
        <v>51</v>
      </c>
      <c r="K1205">
        <v>32.299999999999997</v>
      </c>
      <c r="L1205">
        <v>1</v>
      </c>
      <c r="M1205">
        <v>9964.06</v>
      </c>
    </row>
    <row r="1206" spans="1:13" x14ac:dyDescent="0.35">
      <c r="A1206" t="s">
        <v>12</v>
      </c>
      <c r="B1206" t="s">
        <v>7</v>
      </c>
      <c r="C1206" t="s">
        <v>8</v>
      </c>
      <c r="H1206">
        <f>IF(B1206="female", 0, 1)</f>
        <v>0</v>
      </c>
      <c r="I1206">
        <f>IF(C1206= "yes", 1, 0)</f>
        <v>1</v>
      </c>
      <c r="J1206">
        <v>18</v>
      </c>
      <c r="K1206">
        <v>27.28</v>
      </c>
      <c r="L1206">
        <v>3</v>
      </c>
      <c r="M1206">
        <v>18223.4512</v>
      </c>
    </row>
    <row r="1207" spans="1:13" x14ac:dyDescent="0.35">
      <c r="A1207" t="s">
        <v>13</v>
      </c>
      <c r="B1207" t="s">
        <v>10</v>
      </c>
      <c r="C1207" t="s">
        <v>11</v>
      </c>
      <c r="H1207">
        <f>IF(B1207="female", 0, 1)</f>
        <v>1</v>
      </c>
      <c r="I1207">
        <f>IF(C1207= "yes", 1, 0)</f>
        <v>0</v>
      </c>
      <c r="J1207">
        <v>35</v>
      </c>
      <c r="K1207">
        <v>17.86</v>
      </c>
      <c r="L1207">
        <v>1</v>
      </c>
      <c r="M1207">
        <v>5116.5003999999999</v>
      </c>
    </row>
    <row r="1208" spans="1:13" x14ac:dyDescent="0.35">
      <c r="A1208" t="s">
        <v>9</v>
      </c>
      <c r="B1208" t="s">
        <v>7</v>
      </c>
      <c r="C1208" t="s">
        <v>11</v>
      </c>
      <c r="H1208">
        <f>IF(B1208="female", 0, 1)</f>
        <v>0</v>
      </c>
      <c r="I1208">
        <f>IF(C1208= "yes", 1, 0)</f>
        <v>0</v>
      </c>
      <c r="J1208">
        <v>59</v>
      </c>
      <c r="K1208">
        <v>34.799999999999997</v>
      </c>
      <c r="L1208">
        <v>2</v>
      </c>
      <c r="M1208">
        <v>36910.608030000003</v>
      </c>
    </row>
    <row r="1209" spans="1:13" x14ac:dyDescent="0.35">
      <c r="A1209" t="s">
        <v>9</v>
      </c>
      <c r="B1209" t="s">
        <v>10</v>
      </c>
      <c r="C1209" t="s">
        <v>8</v>
      </c>
      <c r="H1209">
        <f>IF(B1209="female", 0, 1)</f>
        <v>1</v>
      </c>
      <c r="I1209">
        <f>IF(C1209= "yes", 1, 0)</f>
        <v>1</v>
      </c>
      <c r="J1209">
        <v>36</v>
      </c>
      <c r="K1209">
        <v>33.4</v>
      </c>
      <c r="L1209">
        <v>2</v>
      </c>
      <c r="M1209">
        <v>38415.474000000002</v>
      </c>
    </row>
    <row r="1210" spans="1:13" x14ac:dyDescent="0.35">
      <c r="A1210" t="s">
        <v>14</v>
      </c>
      <c r="B1210" t="s">
        <v>7</v>
      </c>
      <c r="C1210" t="s">
        <v>8</v>
      </c>
      <c r="H1210">
        <f>IF(B1210="female", 0, 1)</f>
        <v>0</v>
      </c>
      <c r="I1210">
        <f>IF(C1210= "yes", 1, 0)</f>
        <v>1</v>
      </c>
      <c r="J1210">
        <v>37</v>
      </c>
      <c r="K1210">
        <v>25.555</v>
      </c>
      <c r="L1210">
        <v>1</v>
      </c>
      <c r="M1210">
        <v>20296.863450000001</v>
      </c>
    </row>
    <row r="1211" spans="1:13" x14ac:dyDescent="0.35">
      <c r="A1211" t="s">
        <v>9</v>
      </c>
      <c r="B1211" t="s">
        <v>10</v>
      </c>
      <c r="C1211" t="s">
        <v>11</v>
      </c>
      <c r="H1211">
        <f>IF(B1211="female", 0, 1)</f>
        <v>1</v>
      </c>
      <c r="I1211">
        <f>IF(C1211= "yes", 1, 0)</f>
        <v>0</v>
      </c>
      <c r="J1211">
        <v>59</v>
      </c>
      <c r="K1211">
        <v>37.1</v>
      </c>
      <c r="L1211">
        <v>1</v>
      </c>
      <c r="M1211">
        <v>12347.172</v>
      </c>
    </row>
    <row r="1212" spans="1:13" x14ac:dyDescent="0.35">
      <c r="A1212" t="s">
        <v>13</v>
      </c>
      <c r="B1212" t="s">
        <v>10</v>
      </c>
      <c r="C1212" t="s">
        <v>11</v>
      </c>
      <c r="H1212">
        <f>IF(B1212="female", 0, 1)</f>
        <v>1</v>
      </c>
      <c r="I1212">
        <f>IF(C1212= "yes", 1, 0)</f>
        <v>0</v>
      </c>
      <c r="J1212">
        <v>36</v>
      </c>
      <c r="K1212">
        <v>30.875</v>
      </c>
      <c r="L1212">
        <v>1</v>
      </c>
      <c r="M1212">
        <v>5373.3642499999996</v>
      </c>
    </row>
    <row r="1213" spans="1:13" x14ac:dyDescent="0.35">
      <c r="A1213" t="s">
        <v>12</v>
      </c>
      <c r="B1213" t="s">
        <v>10</v>
      </c>
      <c r="C1213" t="s">
        <v>11</v>
      </c>
      <c r="H1213">
        <f>IF(B1213="female", 0, 1)</f>
        <v>1</v>
      </c>
      <c r="I1213">
        <f>IF(C1213= "yes", 1, 0)</f>
        <v>0</v>
      </c>
      <c r="J1213">
        <v>39</v>
      </c>
      <c r="K1213">
        <v>34.1</v>
      </c>
      <c r="L1213">
        <v>2</v>
      </c>
      <c r="M1213">
        <v>23563.016179999999</v>
      </c>
    </row>
    <row r="1214" spans="1:13" x14ac:dyDescent="0.35">
      <c r="A1214" t="s">
        <v>14</v>
      </c>
      <c r="B1214" t="s">
        <v>10</v>
      </c>
      <c r="C1214" t="s">
        <v>11</v>
      </c>
      <c r="H1214">
        <f>IF(B1214="female", 0, 1)</f>
        <v>1</v>
      </c>
      <c r="I1214">
        <f>IF(C1214= "yes", 1, 0)</f>
        <v>0</v>
      </c>
      <c r="J1214">
        <v>18</v>
      </c>
      <c r="K1214">
        <v>21.47</v>
      </c>
      <c r="L1214">
        <v>0</v>
      </c>
      <c r="M1214">
        <v>1702.4553000000001</v>
      </c>
    </row>
    <row r="1215" spans="1:13" x14ac:dyDescent="0.35">
      <c r="A1215" t="s">
        <v>9</v>
      </c>
      <c r="B1215" t="s">
        <v>7</v>
      </c>
      <c r="C1215" t="s">
        <v>11</v>
      </c>
      <c r="H1215">
        <f>IF(B1215="female", 0, 1)</f>
        <v>0</v>
      </c>
      <c r="I1215">
        <f>IF(C1215= "yes", 1, 0)</f>
        <v>0</v>
      </c>
      <c r="J1215">
        <v>52</v>
      </c>
      <c r="K1215">
        <v>33.299999999999997</v>
      </c>
      <c r="L1215">
        <v>2</v>
      </c>
      <c r="M1215">
        <v>10806.839</v>
      </c>
    </row>
    <row r="1216" spans="1:13" x14ac:dyDescent="0.35">
      <c r="A1216" t="s">
        <v>13</v>
      </c>
      <c r="B1216" t="s">
        <v>7</v>
      </c>
      <c r="C1216" t="s">
        <v>11</v>
      </c>
      <c r="H1216">
        <f>IF(B1216="female", 0, 1)</f>
        <v>0</v>
      </c>
      <c r="I1216">
        <f>IF(C1216= "yes", 1, 0)</f>
        <v>0</v>
      </c>
      <c r="J1216">
        <v>27</v>
      </c>
      <c r="K1216">
        <v>31.254999999999999</v>
      </c>
      <c r="L1216">
        <v>1</v>
      </c>
      <c r="M1216">
        <v>3956.0714499999999</v>
      </c>
    </row>
    <row r="1217" spans="1:13" x14ac:dyDescent="0.35">
      <c r="A1217" t="s">
        <v>14</v>
      </c>
      <c r="B1217" t="s">
        <v>10</v>
      </c>
      <c r="C1217" t="s">
        <v>11</v>
      </c>
      <c r="H1217">
        <f>IF(B1217="female", 0, 1)</f>
        <v>1</v>
      </c>
      <c r="I1217">
        <f>IF(C1217= "yes", 1, 0)</f>
        <v>0</v>
      </c>
      <c r="J1217">
        <v>18</v>
      </c>
      <c r="K1217">
        <v>39.14</v>
      </c>
      <c r="L1217">
        <v>0</v>
      </c>
      <c r="M1217">
        <v>12890.057650000001</v>
      </c>
    </row>
    <row r="1218" spans="1:13" x14ac:dyDescent="0.35">
      <c r="A1218" t="s">
        <v>12</v>
      </c>
      <c r="B1218" t="s">
        <v>10</v>
      </c>
      <c r="C1218" t="s">
        <v>11</v>
      </c>
      <c r="H1218">
        <f>IF(B1218="female", 0, 1)</f>
        <v>1</v>
      </c>
      <c r="I1218">
        <f>IF(C1218= "yes", 1, 0)</f>
        <v>0</v>
      </c>
      <c r="J1218">
        <v>40</v>
      </c>
      <c r="K1218">
        <v>25.08</v>
      </c>
      <c r="L1218">
        <v>0</v>
      </c>
      <c r="M1218">
        <v>5415.6611999999996</v>
      </c>
    </row>
    <row r="1219" spans="1:13" x14ac:dyDescent="0.35">
      <c r="A1219" t="s">
        <v>12</v>
      </c>
      <c r="B1219" t="s">
        <v>10</v>
      </c>
      <c r="C1219" t="s">
        <v>11</v>
      </c>
      <c r="H1219">
        <f>IF(B1219="female", 0, 1)</f>
        <v>1</v>
      </c>
      <c r="I1219">
        <f>IF(C1219= "yes", 1, 0)</f>
        <v>0</v>
      </c>
      <c r="J1219">
        <v>29</v>
      </c>
      <c r="K1219">
        <v>37.29</v>
      </c>
      <c r="L1219">
        <v>2</v>
      </c>
      <c r="M1219">
        <v>4058.1161000000002</v>
      </c>
    </row>
    <row r="1220" spans="1:13" x14ac:dyDescent="0.35">
      <c r="A1220" t="s">
        <v>9</v>
      </c>
      <c r="B1220" t="s">
        <v>7</v>
      </c>
      <c r="C1220" t="s">
        <v>8</v>
      </c>
      <c r="H1220">
        <f>IF(B1220="female", 0, 1)</f>
        <v>0</v>
      </c>
      <c r="I1220">
        <f>IF(C1220= "yes", 1, 0)</f>
        <v>1</v>
      </c>
      <c r="J1220">
        <v>46</v>
      </c>
      <c r="K1220">
        <v>34.6</v>
      </c>
      <c r="L1220">
        <v>1</v>
      </c>
      <c r="M1220">
        <v>41661.601999999999</v>
      </c>
    </row>
    <row r="1221" spans="1:13" x14ac:dyDescent="0.35">
      <c r="A1221" t="s">
        <v>13</v>
      </c>
      <c r="B1221" t="s">
        <v>7</v>
      </c>
      <c r="C1221" t="s">
        <v>11</v>
      </c>
      <c r="H1221">
        <f>IF(B1221="female", 0, 1)</f>
        <v>0</v>
      </c>
      <c r="I1221">
        <f>IF(C1221= "yes", 1, 0)</f>
        <v>0</v>
      </c>
      <c r="J1221">
        <v>38</v>
      </c>
      <c r="K1221">
        <v>30.21</v>
      </c>
      <c r="L1221">
        <v>3</v>
      </c>
      <c r="M1221">
        <v>7537.1638999999996</v>
      </c>
    </row>
    <row r="1222" spans="1:13" x14ac:dyDescent="0.35">
      <c r="A1222" t="s">
        <v>14</v>
      </c>
      <c r="B1222" t="s">
        <v>7</v>
      </c>
      <c r="C1222" t="s">
        <v>11</v>
      </c>
      <c r="H1222">
        <f>IF(B1222="female", 0, 1)</f>
        <v>0</v>
      </c>
      <c r="I1222">
        <f>IF(C1222= "yes", 1, 0)</f>
        <v>0</v>
      </c>
      <c r="J1222">
        <v>30</v>
      </c>
      <c r="K1222">
        <v>21.945</v>
      </c>
      <c r="L1222">
        <v>1</v>
      </c>
      <c r="M1222">
        <v>4718.2035500000002</v>
      </c>
    </row>
    <row r="1223" spans="1:13" x14ac:dyDescent="0.35">
      <c r="A1223" t="s">
        <v>12</v>
      </c>
      <c r="B1223" t="s">
        <v>10</v>
      </c>
      <c r="C1223" t="s">
        <v>11</v>
      </c>
      <c r="H1223">
        <f>IF(B1223="female", 0, 1)</f>
        <v>1</v>
      </c>
      <c r="I1223">
        <f>IF(C1223= "yes", 1, 0)</f>
        <v>0</v>
      </c>
      <c r="J1223">
        <v>40</v>
      </c>
      <c r="K1223">
        <v>24.97</v>
      </c>
      <c r="L1223">
        <v>2</v>
      </c>
      <c r="M1223">
        <v>6593.5083000000004</v>
      </c>
    </row>
    <row r="1224" spans="1:13" x14ac:dyDescent="0.35">
      <c r="A1224" t="s">
        <v>12</v>
      </c>
      <c r="B1224" t="s">
        <v>10</v>
      </c>
      <c r="C1224" t="s">
        <v>11</v>
      </c>
      <c r="H1224">
        <f>IF(B1224="female", 0, 1)</f>
        <v>1</v>
      </c>
      <c r="I1224">
        <f>IF(C1224= "yes", 1, 0)</f>
        <v>0</v>
      </c>
      <c r="J1224">
        <v>50</v>
      </c>
      <c r="K1224">
        <v>25.3</v>
      </c>
      <c r="L1224">
        <v>0</v>
      </c>
      <c r="M1224">
        <v>8442.6669999999995</v>
      </c>
    </row>
    <row r="1225" spans="1:13" x14ac:dyDescent="0.35">
      <c r="A1225" t="s">
        <v>12</v>
      </c>
      <c r="B1225" t="s">
        <v>7</v>
      </c>
      <c r="C1225" t="s">
        <v>8</v>
      </c>
      <c r="H1225">
        <f>IF(B1225="female", 0, 1)</f>
        <v>0</v>
      </c>
      <c r="I1225">
        <f>IF(C1225= "yes", 1, 0)</f>
        <v>1</v>
      </c>
      <c r="J1225">
        <v>20</v>
      </c>
      <c r="K1225">
        <v>24.42</v>
      </c>
      <c r="L1225">
        <v>0</v>
      </c>
      <c r="M1225">
        <v>26125.674770000001</v>
      </c>
    </row>
    <row r="1226" spans="1:13" x14ac:dyDescent="0.35">
      <c r="A1226" t="s">
        <v>14</v>
      </c>
      <c r="B1226" t="s">
        <v>10</v>
      </c>
      <c r="C1226" t="s">
        <v>11</v>
      </c>
      <c r="H1226">
        <f>IF(B1226="female", 0, 1)</f>
        <v>1</v>
      </c>
      <c r="I1226">
        <f>IF(C1226= "yes", 1, 0)</f>
        <v>0</v>
      </c>
      <c r="J1226">
        <v>41</v>
      </c>
      <c r="K1226">
        <v>23.94</v>
      </c>
      <c r="L1226">
        <v>1</v>
      </c>
      <c r="M1226">
        <v>6858.4795999999997</v>
      </c>
    </row>
    <row r="1227" spans="1:13" x14ac:dyDescent="0.35">
      <c r="A1227" t="s">
        <v>12</v>
      </c>
      <c r="B1227" t="s">
        <v>7</v>
      </c>
      <c r="C1227" t="s">
        <v>11</v>
      </c>
      <c r="H1227">
        <f>IF(B1227="female", 0, 1)</f>
        <v>0</v>
      </c>
      <c r="I1227">
        <f>IF(C1227= "yes", 1, 0)</f>
        <v>0</v>
      </c>
      <c r="J1227">
        <v>33</v>
      </c>
      <c r="K1227">
        <v>39.82</v>
      </c>
      <c r="L1227">
        <v>1</v>
      </c>
      <c r="M1227">
        <v>4795.6567999999997</v>
      </c>
    </row>
    <row r="1228" spans="1:13" x14ac:dyDescent="0.35">
      <c r="A1228" t="s">
        <v>14</v>
      </c>
      <c r="B1228" t="s">
        <v>10</v>
      </c>
      <c r="C1228" t="s">
        <v>11</v>
      </c>
      <c r="H1228">
        <f>IF(B1228="female", 0, 1)</f>
        <v>1</v>
      </c>
      <c r="I1228">
        <f>IF(C1228= "yes", 1, 0)</f>
        <v>0</v>
      </c>
      <c r="J1228">
        <v>38</v>
      </c>
      <c r="K1228">
        <v>16.815000000000001</v>
      </c>
      <c r="L1228">
        <v>2</v>
      </c>
      <c r="M1228">
        <v>6640.5448500000002</v>
      </c>
    </row>
    <row r="1229" spans="1:13" x14ac:dyDescent="0.35">
      <c r="A1229" t="s">
        <v>12</v>
      </c>
      <c r="B1229" t="s">
        <v>10</v>
      </c>
      <c r="C1229" t="s">
        <v>11</v>
      </c>
      <c r="H1229">
        <f>IF(B1229="female", 0, 1)</f>
        <v>1</v>
      </c>
      <c r="I1229">
        <f>IF(C1229= "yes", 1, 0)</f>
        <v>0</v>
      </c>
      <c r="J1229">
        <v>42</v>
      </c>
      <c r="K1229">
        <v>37.18</v>
      </c>
      <c r="L1229">
        <v>2</v>
      </c>
      <c r="M1229">
        <v>7162.0122000000001</v>
      </c>
    </row>
    <row r="1230" spans="1:13" x14ac:dyDescent="0.35">
      <c r="A1230" t="s">
        <v>12</v>
      </c>
      <c r="B1230" t="s">
        <v>10</v>
      </c>
      <c r="C1230" t="s">
        <v>11</v>
      </c>
      <c r="H1230">
        <f>IF(B1230="female", 0, 1)</f>
        <v>1</v>
      </c>
      <c r="I1230">
        <f>IF(C1230= "yes", 1, 0)</f>
        <v>0</v>
      </c>
      <c r="J1230">
        <v>56</v>
      </c>
      <c r="K1230">
        <v>34.43</v>
      </c>
      <c r="L1230">
        <v>0</v>
      </c>
      <c r="M1230">
        <v>10594.225700000001</v>
      </c>
    </row>
    <row r="1231" spans="1:13" x14ac:dyDescent="0.35">
      <c r="A1231" t="s">
        <v>14</v>
      </c>
      <c r="B1231" t="s">
        <v>10</v>
      </c>
      <c r="C1231" t="s">
        <v>11</v>
      </c>
      <c r="H1231">
        <f>IF(B1231="female", 0, 1)</f>
        <v>1</v>
      </c>
      <c r="I1231">
        <f>IF(C1231= "yes", 1, 0)</f>
        <v>0</v>
      </c>
      <c r="J1231">
        <v>58</v>
      </c>
      <c r="K1231">
        <v>30.305</v>
      </c>
      <c r="L1231">
        <v>0</v>
      </c>
      <c r="M1231">
        <v>11938.255950000001</v>
      </c>
    </row>
    <row r="1232" spans="1:13" x14ac:dyDescent="0.35">
      <c r="A1232" t="s">
        <v>13</v>
      </c>
      <c r="B1232" t="s">
        <v>10</v>
      </c>
      <c r="C1232" t="s">
        <v>8</v>
      </c>
      <c r="H1232">
        <f>IF(B1232="female", 0, 1)</f>
        <v>1</v>
      </c>
      <c r="I1232">
        <f>IF(C1232= "yes", 1, 0)</f>
        <v>1</v>
      </c>
      <c r="J1232">
        <v>52</v>
      </c>
      <c r="K1232">
        <v>34.484999999999999</v>
      </c>
      <c r="L1232">
        <v>3</v>
      </c>
      <c r="M1232">
        <v>60021.398970000002</v>
      </c>
    </row>
    <row r="1233" spans="1:13" x14ac:dyDescent="0.35">
      <c r="A1233" t="s">
        <v>9</v>
      </c>
      <c r="B1233" t="s">
        <v>7</v>
      </c>
      <c r="C1233" t="s">
        <v>8</v>
      </c>
      <c r="H1233">
        <f>IF(B1233="female", 0, 1)</f>
        <v>0</v>
      </c>
      <c r="I1233">
        <f>IF(C1233= "yes", 1, 0)</f>
        <v>1</v>
      </c>
      <c r="J1233">
        <v>20</v>
      </c>
      <c r="K1233">
        <v>21.8</v>
      </c>
      <c r="L1233">
        <v>0</v>
      </c>
      <c r="M1233">
        <v>20167.336029999999</v>
      </c>
    </row>
    <row r="1234" spans="1:13" x14ac:dyDescent="0.35">
      <c r="A1234" t="s">
        <v>13</v>
      </c>
      <c r="B1234" t="s">
        <v>7</v>
      </c>
      <c r="C1234" t="s">
        <v>11</v>
      </c>
      <c r="H1234">
        <f>IF(B1234="female", 0, 1)</f>
        <v>0</v>
      </c>
      <c r="I1234">
        <f>IF(C1234= "yes", 1, 0)</f>
        <v>0</v>
      </c>
      <c r="J1234">
        <v>54</v>
      </c>
      <c r="K1234">
        <v>24.605</v>
      </c>
      <c r="L1234">
        <v>3</v>
      </c>
      <c r="M1234">
        <v>12479.70895</v>
      </c>
    </row>
    <row r="1235" spans="1:13" x14ac:dyDescent="0.35">
      <c r="A1235" t="s">
        <v>9</v>
      </c>
      <c r="B1235" t="s">
        <v>10</v>
      </c>
      <c r="C1235" t="s">
        <v>11</v>
      </c>
      <c r="H1235">
        <f>IF(B1235="female", 0, 1)</f>
        <v>1</v>
      </c>
      <c r="I1235">
        <f>IF(C1235= "yes", 1, 0)</f>
        <v>0</v>
      </c>
      <c r="J1235">
        <v>58</v>
      </c>
      <c r="K1235">
        <v>23.3</v>
      </c>
      <c r="L1235">
        <v>0</v>
      </c>
      <c r="M1235">
        <v>11345.519</v>
      </c>
    </row>
    <row r="1236" spans="1:13" x14ac:dyDescent="0.35">
      <c r="A1236" t="s">
        <v>12</v>
      </c>
      <c r="B1236" t="s">
        <v>7</v>
      </c>
      <c r="C1236" t="s">
        <v>11</v>
      </c>
      <c r="H1236">
        <f>IF(B1236="female", 0, 1)</f>
        <v>0</v>
      </c>
      <c r="I1236">
        <f>IF(C1236= "yes", 1, 0)</f>
        <v>0</v>
      </c>
      <c r="J1236">
        <v>45</v>
      </c>
      <c r="K1236">
        <v>27.83</v>
      </c>
      <c r="L1236">
        <v>2</v>
      </c>
      <c r="M1236">
        <v>8515.7587000000003</v>
      </c>
    </row>
    <row r="1237" spans="1:13" x14ac:dyDescent="0.35">
      <c r="A1237" t="s">
        <v>13</v>
      </c>
      <c r="B1237" t="s">
        <v>10</v>
      </c>
      <c r="C1237" t="s">
        <v>11</v>
      </c>
      <c r="H1237">
        <f>IF(B1237="female", 0, 1)</f>
        <v>1</v>
      </c>
      <c r="I1237">
        <f>IF(C1237= "yes", 1, 0)</f>
        <v>0</v>
      </c>
      <c r="J1237">
        <v>26</v>
      </c>
      <c r="K1237">
        <v>31.065000000000001</v>
      </c>
      <c r="L1237">
        <v>0</v>
      </c>
      <c r="M1237">
        <v>2699.56835</v>
      </c>
    </row>
    <row r="1238" spans="1:13" x14ac:dyDescent="0.35">
      <c r="A1238" t="s">
        <v>14</v>
      </c>
      <c r="B1238" t="s">
        <v>7</v>
      </c>
      <c r="C1238" t="s">
        <v>11</v>
      </c>
      <c r="H1238">
        <f>IF(B1238="female", 0, 1)</f>
        <v>0</v>
      </c>
      <c r="I1238">
        <f>IF(C1238= "yes", 1, 0)</f>
        <v>0</v>
      </c>
      <c r="J1238">
        <v>63</v>
      </c>
      <c r="K1238">
        <v>21.66</v>
      </c>
      <c r="L1238">
        <v>0</v>
      </c>
      <c r="M1238">
        <v>14449.8544</v>
      </c>
    </row>
    <row r="1239" spans="1:13" x14ac:dyDescent="0.35">
      <c r="A1239" t="s">
        <v>13</v>
      </c>
      <c r="B1239" t="s">
        <v>7</v>
      </c>
      <c r="C1239" t="s">
        <v>11</v>
      </c>
      <c r="H1239">
        <f>IF(B1239="female", 0, 1)</f>
        <v>0</v>
      </c>
      <c r="I1239">
        <f>IF(C1239= "yes", 1, 0)</f>
        <v>0</v>
      </c>
      <c r="J1239">
        <v>58</v>
      </c>
      <c r="K1239">
        <v>28.215</v>
      </c>
      <c r="L1239">
        <v>0</v>
      </c>
      <c r="M1239">
        <v>12224.350850000001</v>
      </c>
    </row>
    <row r="1240" spans="1:13" x14ac:dyDescent="0.35">
      <c r="A1240" t="s">
        <v>14</v>
      </c>
      <c r="B1240" t="s">
        <v>10</v>
      </c>
      <c r="C1240" t="s">
        <v>11</v>
      </c>
      <c r="H1240">
        <f>IF(B1240="female", 0, 1)</f>
        <v>1</v>
      </c>
      <c r="I1240">
        <f>IF(C1240= "yes", 1, 0)</f>
        <v>0</v>
      </c>
      <c r="J1240">
        <v>37</v>
      </c>
      <c r="K1240">
        <v>22.704999999999998</v>
      </c>
      <c r="L1240">
        <v>3</v>
      </c>
      <c r="M1240">
        <v>6985.50695</v>
      </c>
    </row>
    <row r="1241" spans="1:13" x14ac:dyDescent="0.35">
      <c r="A1241" t="s">
        <v>12</v>
      </c>
      <c r="B1241" t="s">
        <v>7</v>
      </c>
      <c r="C1241" t="s">
        <v>11</v>
      </c>
      <c r="H1241">
        <f>IF(B1241="female", 0, 1)</f>
        <v>0</v>
      </c>
      <c r="I1241">
        <f>IF(C1241= "yes", 1, 0)</f>
        <v>0</v>
      </c>
      <c r="J1241">
        <v>25</v>
      </c>
      <c r="K1241">
        <v>42.13</v>
      </c>
      <c r="L1241">
        <v>1</v>
      </c>
      <c r="M1241">
        <v>3238.4357</v>
      </c>
    </row>
    <row r="1242" spans="1:13" x14ac:dyDescent="0.35">
      <c r="A1242" t="s">
        <v>12</v>
      </c>
      <c r="B1242" t="s">
        <v>10</v>
      </c>
      <c r="C1242" t="s">
        <v>8</v>
      </c>
      <c r="H1242">
        <f>IF(B1242="female", 0, 1)</f>
        <v>1</v>
      </c>
      <c r="I1242">
        <f>IF(C1242= "yes", 1, 0)</f>
        <v>1</v>
      </c>
      <c r="J1242">
        <v>52</v>
      </c>
      <c r="K1242">
        <v>41.8</v>
      </c>
      <c r="L1242">
        <v>2</v>
      </c>
      <c r="M1242">
        <v>47269.853999999999</v>
      </c>
    </row>
    <row r="1243" spans="1:13" x14ac:dyDescent="0.35">
      <c r="A1243" t="s">
        <v>12</v>
      </c>
      <c r="B1243" t="s">
        <v>10</v>
      </c>
      <c r="C1243" t="s">
        <v>8</v>
      </c>
      <c r="H1243">
        <f>IF(B1243="female", 0, 1)</f>
        <v>1</v>
      </c>
      <c r="I1243">
        <f>IF(C1243= "yes", 1, 0)</f>
        <v>1</v>
      </c>
      <c r="J1243">
        <v>64</v>
      </c>
      <c r="K1243">
        <v>36.96</v>
      </c>
      <c r="L1243">
        <v>2</v>
      </c>
      <c r="M1243">
        <v>49577.662400000001</v>
      </c>
    </row>
    <row r="1244" spans="1:13" x14ac:dyDescent="0.35">
      <c r="A1244" t="s">
        <v>13</v>
      </c>
      <c r="B1244" t="s">
        <v>7</v>
      </c>
      <c r="C1244" t="s">
        <v>11</v>
      </c>
      <c r="H1244">
        <f>IF(B1244="female", 0, 1)</f>
        <v>0</v>
      </c>
      <c r="I1244">
        <f>IF(C1244= "yes", 1, 0)</f>
        <v>0</v>
      </c>
      <c r="J1244">
        <v>22</v>
      </c>
      <c r="K1244">
        <v>21.28</v>
      </c>
      <c r="L1244">
        <v>3</v>
      </c>
      <c r="M1244">
        <v>4296.2712000000001</v>
      </c>
    </row>
    <row r="1245" spans="1:13" x14ac:dyDescent="0.35">
      <c r="A1245" t="s">
        <v>12</v>
      </c>
      <c r="B1245" t="s">
        <v>7</v>
      </c>
      <c r="C1245" t="s">
        <v>11</v>
      </c>
      <c r="H1245">
        <f>IF(B1245="female", 0, 1)</f>
        <v>0</v>
      </c>
      <c r="I1245">
        <f>IF(C1245= "yes", 1, 0)</f>
        <v>0</v>
      </c>
      <c r="J1245">
        <v>28</v>
      </c>
      <c r="K1245">
        <v>33.11</v>
      </c>
      <c r="L1245">
        <v>0</v>
      </c>
      <c r="M1245">
        <v>3171.6149</v>
      </c>
    </row>
    <row r="1246" spans="1:13" x14ac:dyDescent="0.35">
      <c r="A1246" t="s">
        <v>12</v>
      </c>
      <c r="B1246" t="s">
        <v>10</v>
      </c>
      <c r="C1246" t="s">
        <v>11</v>
      </c>
      <c r="H1246">
        <f>IF(B1246="female", 0, 1)</f>
        <v>1</v>
      </c>
      <c r="I1246">
        <f>IF(C1246= "yes", 1, 0)</f>
        <v>0</v>
      </c>
      <c r="J1246">
        <v>18</v>
      </c>
      <c r="K1246">
        <v>33.33</v>
      </c>
      <c r="L1246">
        <v>0</v>
      </c>
      <c r="M1246">
        <v>1135.9407000000001</v>
      </c>
    </row>
    <row r="1247" spans="1:13" x14ac:dyDescent="0.35">
      <c r="A1247" t="s">
        <v>9</v>
      </c>
      <c r="B1247" t="s">
        <v>10</v>
      </c>
      <c r="C1247" t="s">
        <v>11</v>
      </c>
      <c r="H1247">
        <f>IF(B1247="female", 0, 1)</f>
        <v>1</v>
      </c>
      <c r="I1247">
        <f>IF(C1247= "yes", 1, 0)</f>
        <v>0</v>
      </c>
      <c r="J1247">
        <v>28</v>
      </c>
      <c r="K1247">
        <v>24.3</v>
      </c>
      <c r="L1247">
        <v>5</v>
      </c>
      <c r="M1247">
        <v>5615.3689999999997</v>
      </c>
    </row>
    <row r="1248" spans="1:13" x14ac:dyDescent="0.35">
      <c r="A1248" t="s">
        <v>9</v>
      </c>
      <c r="B1248" t="s">
        <v>7</v>
      </c>
      <c r="C1248" t="s">
        <v>11</v>
      </c>
      <c r="H1248">
        <f>IF(B1248="female", 0, 1)</f>
        <v>0</v>
      </c>
      <c r="I1248">
        <f>IF(C1248= "yes", 1, 0)</f>
        <v>0</v>
      </c>
      <c r="J1248">
        <v>45</v>
      </c>
      <c r="K1248">
        <v>25.7</v>
      </c>
      <c r="L1248">
        <v>3</v>
      </c>
      <c r="M1248">
        <v>9101.7980000000007</v>
      </c>
    </row>
    <row r="1249" spans="1:13" x14ac:dyDescent="0.35">
      <c r="A1249" t="s">
        <v>9</v>
      </c>
      <c r="B1249" t="s">
        <v>10</v>
      </c>
      <c r="C1249" t="s">
        <v>11</v>
      </c>
      <c r="H1249">
        <f>IF(B1249="female", 0, 1)</f>
        <v>1</v>
      </c>
      <c r="I1249">
        <f>IF(C1249= "yes", 1, 0)</f>
        <v>0</v>
      </c>
      <c r="J1249">
        <v>33</v>
      </c>
      <c r="K1249">
        <v>29.4</v>
      </c>
      <c r="L1249">
        <v>4</v>
      </c>
      <c r="M1249">
        <v>6059.1729999999998</v>
      </c>
    </row>
    <row r="1250" spans="1:13" x14ac:dyDescent="0.35">
      <c r="A1250" t="s">
        <v>12</v>
      </c>
      <c r="B1250" t="s">
        <v>7</v>
      </c>
      <c r="C1250" t="s">
        <v>11</v>
      </c>
      <c r="H1250">
        <f>IF(B1250="female", 0, 1)</f>
        <v>0</v>
      </c>
      <c r="I1250">
        <f>IF(C1250= "yes", 1, 0)</f>
        <v>0</v>
      </c>
      <c r="J1250">
        <v>18</v>
      </c>
      <c r="K1250">
        <v>39.82</v>
      </c>
      <c r="L1250">
        <v>0</v>
      </c>
      <c r="M1250">
        <v>1633.9618</v>
      </c>
    </row>
    <row r="1251" spans="1:13" x14ac:dyDescent="0.35">
      <c r="A1251" t="s">
        <v>14</v>
      </c>
      <c r="B1251" t="s">
        <v>10</v>
      </c>
      <c r="C1251" t="s">
        <v>8</v>
      </c>
      <c r="H1251">
        <f>IF(B1251="female", 0, 1)</f>
        <v>1</v>
      </c>
      <c r="I1251">
        <f>IF(C1251= "yes", 1, 0)</f>
        <v>1</v>
      </c>
      <c r="J1251">
        <v>32</v>
      </c>
      <c r="K1251">
        <v>33.630000000000003</v>
      </c>
      <c r="L1251">
        <v>1</v>
      </c>
      <c r="M1251">
        <v>37607.527699999999</v>
      </c>
    </row>
    <row r="1252" spans="1:13" x14ac:dyDescent="0.35">
      <c r="A1252" t="s">
        <v>14</v>
      </c>
      <c r="B1252" t="s">
        <v>10</v>
      </c>
      <c r="C1252" t="s">
        <v>8</v>
      </c>
      <c r="H1252">
        <f>IF(B1252="female", 0, 1)</f>
        <v>1</v>
      </c>
      <c r="I1252">
        <f>IF(C1252= "yes", 1, 0)</f>
        <v>1</v>
      </c>
      <c r="J1252">
        <v>24</v>
      </c>
      <c r="K1252">
        <v>29.83</v>
      </c>
      <c r="L1252">
        <v>0</v>
      </c>
      <c r="M1252">
        <v>18648.421699999999</v>
      </c>
    </row>
    <row r="1253" spans="1:13" x14ac:dyDescent="0.35">
      <c r="A1253" t="s">
        <v>9</v>
      </c>
      <c r="B1253" t="s">
        <v>10</v>
      </c>
      <c r="C1253" t="s">
        <v>11</v>
      </c>
      <c r="H1253">
        <f>IF(B1253="female", 0, 1)</f>
        <v>1</v>
      </c>
      <c r="I1253">
        <f>IF(C1253= "yes", 1, 0)</f>
        <v>0</v>
      </c>
      <c r="J1253">
        <v>19</v>
      </c>
      <c r="K1253">
        <v>19.8</v>
      </c>
      <c r="L1253">
        <v>0</v>
      </c>
      <c r="M1253">
        <v>1241.5650000000001</v>
      </c>
    </row>
    <row r="1254" spans="1:13" x14ac:dyDescent="0.35">
      <c r="A1254" t="s">
        <v>9</v>
      </c>
      <c r="B1254" t="s">
        <v>10</v>
      </c>
      <c r="C1254" t="s">
        <v>8</v>
      </c>
      <c r="H1254">
        <f>IF(B1254="female", 0, 1)</f>
        <v>1</v>
      </c>
      <c r="I1254">
        <f>IF(C1254= "yes", 1, 0)</f>
        <v>1</v>
      </c>
      <c r="J1254">
        <v>20</v>
      </c>
      <c r="K1254">
        <v>27.3</v>
      </c>
      <c r="L1254">
        <v>0</v>
      </c>
      <c r="M1254">
        <v>16232.847</v>
      </c>
    </row>
    <row r="1255" spans="1:13" x14ac:dyDescent="0.35">
      <c r="A1255" t="s">
        <v>9</v>
      </c>
      <c r="B1255" t="s">
        <v>7</v>
      </c>
      <c r="C1255" t="s">
        <v>11</v>
      </c>
      <c r="H1255">
        <f>IF(B1255="female", 0, 1)</f>
        <v>0</v>
      </c>
      <c r="I1255">
        <f>IF(C1255= "yes", 1, 0)</f>
        <v>0</v>
      </c>
      <c r="J1255">
        <v>40</v>
      </c>
      <c r="K1255">
        <v>29.3</v>
      </c>
      <c r="L1255">
        <v>4</v>
      </c>
      <c r="M1255">
        <v>15828.82173</v>
      </c>
    </row>
    <row r="1256" spans="1:13" x14ac:dyDescent="0.35">
      <c r="A1256" t="s">
        <v>12</v>
      </c>
      <c r="B1256" t="s">
        <v>7</v>
      </c>
      <c r="C1256" t="s">
        <v>11</v>
      </c>
      <c r="H1256">
        <f>IF(B1256="female", 0, 1)</f>
        <v>0</v>
      </c>
      <c r="I1256">
        <f>IF(C1256= "yes", 1, 0)</f>
        <v>0</v>
      </c>
      <c r="J1256">
        <v>34</v>
      </c>
      <c r="K1256">
        <v>27.72</v>
      </c>
      <c r="L1256">
        <v>0</v>
      </c>
      <c r="M1256">
        <v>4415.1588000000002</v>
      </c>
    </row>
    <row r="1257" spans="1:13" x14ac:dyDescent="0.35">
      <c r="A1257" t="s">
        <v>9</v>
      </c>
      <c r="B1257" t="s">
        <v>7</v>
      </c>
      <c r="C1257" t="s">
        <v>11</v>
      </c>
      <c r="H1257">
        <f>IF(B1257="female", 0, 1)</f>
        <v>0</v>
      </c>
      <c r="I1257">
        <f>IF(C1257= "yes", 1, 0)</f>
        <v>0</v>
      </c>
      <c r="J1257">
        <v>42</v>
      </c>
      <c r="K1257">
        <v>37.9</v>
      </c>
      <c r="L1257">
        <v>0</v>
      </c>
      <c r="M1257">
        <v>6474.0129999999999</v>
      </c>
    </row>
    <row r="1258" spans="1:13" x14ac:dyDescent="0.35">
      <c r="A1258" t="s">
        <v>13</v>
      </c>
      <c r="B1258" t="s">
        <v>7</v>
      </c>
      <c r="C1258" t="s">
        <v>11</v>
      </c>
      <c r="H1258">
        <f>IF(B1258="female", 0, 1)</f>
        <v>0</v>
      </c>
      <c r="I1258">
        <f>IF(C1258= "yes", 1, 0)</f>
        <v>0</v>
      </c>
      <c r="J1258">
        <v>51</v>
      </c>
      <c r="K1258">
        <v>36.384999999999998</v>
      </c>
      <c r="L1258">
        <v>3</v>
      </c>
      <c r="M1258">
        <v>11436.738149999999</v>
      </c>
    </row>
    <row r="1259" spans="1:13" x14ac:dyDescent="0.35">
      <c r="A1259" t="s">
        <v>13</v>
      </c>
      <c r="B1259" t="s">
        <v>7</v>
      </c>
      <c r="C1259" t="s">
        <v>11</v>
      </c>
      <c r="H1259">
        <f>IF(B1259="female", 0, 1)</f>
        <v>0</v>
      </c>
      <c r="I1259">
        <f>IF(C1259= "yes", 1, 0)</f>
        <v>0</v>
      </c>
      <c r="J1259">
        <v>54</v>
      </c>
      <c r="K1259">
        <v>27.645</v>
      </c>
      <c r="L1259">
        <v>1</v>
      </c>
      <c r="M1259">
        <v>11305.93455</v>
      </c>
    </row>
    <row r="1260" spans="1:13" x14ac:dyDescent="0.35">
      <c r="A1260" t="s">
        <v>13</v>
      </c>
      <c r="B1260" t="s">
        <v>10</v>
      </c>
      <c r="C1260" t="s">
        <v>11</v>
      </c>
      <c r="H1260">
        <f>IF(B1260="female", 0, 1)</f>
        <v>1</v>
      </c>
      <c r="I1260">
        <f>IF(C1260= "yes", 1, 0)</f>
        <v>0</v>
      </c>
      <c r="J1260">
        <v>55</v>
      </c>
      <c r="K1260">
        <v>37.715000000000003</v>
      </c>
      <c r="L1260">
        <v>3</v>
      </c>
      <c r="M1260">
        <v>30063.580549999999</v>
      </c>
    </row>
    <row r="1261" spans="1:13" x14ac:dyDescent="0.35">
      <c r="A1261" t="s">
        <v>14</v>
      </c>
      <c r="B1261" t="s">
        <v>7</v>
      </c>
      <c r="C1261" t="s">
        <v>11</v>
      </c>
      <c r="H1261">
        <f>IF(B1261="female", 0, 1)</f>
        <v>0</v>
      </c>
      <c r="I1261">
        <f>IF(C1261= "yes", 1, 0)</f>
        <v>0</v>
      </c>
      <c r="J1261">
        <v>52</v>
      </c>
      <c r="K1261">
        <v>23.18</v>
      </c>
      <c r="L1261">
        <v>0</v>
      </c>
      <c r="M1261">
        <v>10197.772199999999</v>
      </c>
    </row>
    <row r="1262" spans="1:13" x14ac:dyDescent="0.35">
      <c r="A1262" t="s">
        <v>14</v>
      </c>
      <c r="B1262" t="s">
        <v>7</v>
      </c>
      <c r="C1262" t="s">
        <v>11</v>
      </c>
      <c r="H1262">
        <f>IF(B1262="female", 0, 1)</f>
        <v>0</v>
      </c>
      <c r="I1262">
        <f>IF(C1262= "yes", 1, 0)</f>
        <v>0</v>
      </c>
      <c r="J1262">
        <v>32</v>
      </c>
      <c r="K1262">
        <v>20.52</v>
      </c>
      <c r="L1262">
        <v>0</v>
      </c>
      <c r="M1262">
        <v>4544.2348000000002</v>
      </c>
    </row>
    <row r="1263" spans="1:13" x14ac:dyDescent="0.35">
      <c r="A1263" t="s">
        <v>9</v>
      </c>
      <c r="B1263" t="s">
        <v>10</v>
      </c>
      <c r="C1263" t="s">
        <v>11</v>
      </c>
      <c r="H1263">
        <f>IF(B1263="female", 0, 1)</f>
        <v>1</v>
      </c>
      <c r="I1263">
        <f>IF(C1263= "yes", 1, 0)</f>
        <v>0</v>
      </c>
      <c r="J1263">
        <v>28</v>
      </c>
      <c r="K1263">
        <v>37.1</v>
      </c>
      <c r="L1263">
        <v>1</v>
      </c>
      <c r="M1263">
        <v>3277.1610000000001</v>
      </c>
    </row>
    <row r="1264" spans="1:13" x14ac:dyDescent="0.35">
      <c r="A1264" t="s">
        <v>12</v>
      </c>
      <c r="B1264" t="s">
        <v>7</v>
      </c>
      <c r="C1264" t="s">
        <v>11</v>
      </c>
      <c r="H1264">
        <f>IF(B1264="female", 0, 1)</f>
        <v>0</v>
      </c>
      <c r="I1264">
        <f>IF(C1264= "yes", 1, 0)</f>
        <v>0</v>
      </c>
      <c r="J1264">
        <v>41</v>
      </c>
      <c r="K1264">
        <v>28.05</v>
      </c>
      <c r="L1264">
        <v>1</v>
      </c>
      <c r="M1264">
        <v>6770.1925000000001</v>
      </c>
    </row>
    <row r="1265" spans="1:13" x14ac:dyDescent="0.35">
      <c r="A1265" t="s">
        <v>9</v>
      </c>
      <c r="B1265" t="s">
        <v>7</v>
      </c>
      <c r="C1265" t="s">
        <v>11</v>
      </c>
      <c r="H1265">
        <f>IF(B1265="female", 0, 1)</f>
        <v>0</v>
      </c>
      <c r="I1265">
        <f>IF(C1265= "yes", 1, 0)</f>
        <v>0</v>
      </c>
      <c r="J1265">
        <v>43</v>
      </c>
      <c r="K1265">
        <v>29.9</v>
      </c>
      <c r="L1265">
        <v>1</v>
      </c>
      <c r="M1265">
        <v>7337.7479999999996</v>
      </c>
    </row>
    <row r="1266" spans="1:13" x14ac:dyDescent="0.35">
      <c r="A1266" t="s">
        <v>14</v>
      </c>
      <c r="B1266" t="s">
        <v>7</v>
      </c>
      <c r="C1266" t="s">
        <v>11</v>
      </c>
      <c r="H1266">
        <f>IF(B1266="female", 0, 1)</f>
        <v>0</v>
      </c>
      <c r="I1266">
        <f>IF(C1266= "yes", 1, 0)</f>
        <v>0</v>
      </c>
      <c r="J1266">
        <v>49</v>
      </c>
      <c r="K1266">
        <v>33.344999999999999</v>
      </c>
      <c r="L1266">
        <v>2</v>
      </c>
      <c r="M1266">
        <v>10370.912549999999</v>
      </c>
    </row>
    <row r="1267" spans="1:13" x14ac:dyDescent="0.35">
      <c r="A1267" t="s">
        <v>12</v>
      </c>
      <c r="B1267" t="s">
        <v>10</v>
      </c>
      <c r="C1267" t="s">
        <v>8</v>
      </c>
      <c r="H1267">
        <f>IF(B1267="female", 0, 1)</f>
        <v>1</v>
      </c>
      <c r="I1267">
        <f>IF(C1267= "yes", 1, 0)</f>
        <v>1</v>
      </c>
      <c r="J1267">
        <v>64</v>
      </c>
      <c r="K1267">
        <v>23.76</v>
      </c>
      <c r="L1267">
        <v>0</v>
      </c>
      <c r="M1267">
        <v>26926.5144</v>
      </c>
    </row>
    <row r="1268" spans="1:13" x14ac:dyDescent="0.35">
      <c r="A1268" t="s">
        <v>9</v>
      </c>
      <c r="B1268" t="s">
        <v>7</v>
      </c>
      <c r="C1268" t="s">
        <v>11</v>
      </c>
      <c r="H1268">
        <f>IF(B1268="female", 0, 1)</f>
        <v>0</v>
      </c>
      <c r="I1268">
        <f>IF(C1268= "yes", 1, 0)</f>
        <v>0</v>
      </c>
      <c r="J1268">
        <v>55</v>
      </c>
      <c r="K1268">
        <v>30.5</v>
      </c>
      <c r="L1268">
        <v>0</v>
      </c>
      <c r="M1268">
        <v>10704.47</v>
      </c>
    </row>
    <row r="1269" spans="1:13" x14ac:dyDescent="0.35">
      <c r="A1269" t="s">
        <v>14</v>
      </c>
      <c r="B1269" t="s">
        <v>10</v>
      </c>
      <c r="C1269" t="s">
        <v>8</v>
      </c>
      <c r="H1269">
        <f>IF(B1269="female", 0, 1)</f>
        <v>1</v>
      </c>
      <c r="I1269">
        <f>IF(C1269= "yes", 1, 0)</f>
        <v>1</v>
      </c>
      <c r="J1269">
        <v>24</v>
      </c>
      <c r="K1269">
        <v>31.065000000000001</v>
      </c>
      <c r="L1269">
        <v>0</v>
      </c>
      <c r="M1269">
        <v>34254.053350000002</v>
      </c>
    </row>
    <row r="1270" spans="1:13" x14ac:dyDescent="0.35">
      <c r="A1270" t="s">
        <v>9</v>
      </c>
      <c r="B1270" t="s">
        <v>7</v>
      </c>
      <c r="C1270" t="s">
        <v>11</v>
      </c>
      <c r="H1270">
        <f>IF(B1270="female", 0, 1)</f>
        <v>0</v>
      </c>
      <c r="I1270">
        <f>IF(C1270= "yes", 1, 0)</f>
        <v>0</v>
      </c>
      <c r="J1270">
        <v>20</v>
      </c>
      <c r="K1270">
        <v>33.299999999999997</v>
      </c>
      <c r="L1270">
        <v>0</v>
      </c>
      <c r="M1270">
        <v>1880.4870000000001</v>
      </c>
    </row>
    <row r="1271" spans="1:13" x14ac:dyDescent="0.35">
      <c r="A1271" t="s">
        <v>9</v>
      </c>
      <c r="B1271" t="s">
        <v>10</v>
      </c>
      <c r="C1271" t="s">
        <v>11</v>
      </c>
      <c r="H1271">
        <f>IF(B1271="female", 0, 1)</f>
        <v>1</v>
      </c>
      <c r="I1271">
        <f>IF(C1271= "yes", 1, 0)</f>
        <v>0</v>
      </c>
      <c r="J1271">
        <v>45</v>
      </c>
      <c r="K1271">
        <v>27.5</v>
      </c>
      <c r="L1271">
        <v>3</v>
      </c>
      <c r="M1271">
        <v>8615.2999999999993</v>
      </c>
    </row>
    <row r="1272" spans="1:13" x14ac:dyDescent="0.35">
      <c r="A1272" t="s">
        <v>13</v>
      </c>
      <c r="B1272" t="s">
        <v>10</v>
      </c>
      <c r="C1272" t="s">
        <v>11</v>
      </c>
      <c r="H1272">
        <f>IF(B1272="female", 0, 1)</f>
        <v>1</v>
      </c>
      <c r="I1272">
        <f>IF(C1272= "yes", 1, 0)</f>
        <v>0</v>
      </c>
      <c r="J1272">
        <v>26</v>
      </c>
      <c r="K1272">
        <v>33.914999999999999</v>
      </c>
      <c r="L1272">
        <v>1</v>
      </c>
      <c r="M1272">
        <v>3292.5298499999999</v>
      </c>
    </row>
    <row r="1273" spans="1:13" x14ac:dyDescent="0.35">
      <c r="A1273" t="s">
        <v>13</v>
      </c>
      <c r="B1273" t="s">
        <v>7</v>
      </c>
      <c r="C1273" t="s">
        <v>11</v>
      </c>
      <c r="H1273">
        <f>IF(B1273="female", 0, 1)</f>
        <v>0</v>
      </c>
      <c r="I1273">
        <f>IF(C1273= "yes", 1, 0)</f>
        <v>0</v>
      </c>
      <c r="J1273">
        <v>25</v>
      </c>
      <c r="K1273">
        <v>34.484999999999999</v>
      </c>
      <c r="L1273">
        <v>0</v>
      </c>
      <c r="M1273">
        <v>3021.80915</v>
      </c>
    </row>
    <row r="1274" spans="1:13" x14ac:dyDescent="0.35">
      <c r="A1274" t="s">
        <v>12</v>
      </c>
      <c r="B1274" t="s">
        <v>10</v>
      </c>
      <c r="C1274" t="s">
        <v>11</v>
      </c>
      <c r="H1274">
        <f>IF(B1274="female", 0, 1)</f>
        <v>1</v>
      </c>
      <c r="I1274">
        <f>IF(C1274= "yes", 1, 0)</f>
        <v>0</v>
      </c>
      <c r="J1274">
        <v>43</v>
      </c>
      <c r="K1274">
        <v>25.52</v>
      </c>
      <c r="L1274">
        <v>5</v>
      </c>
      <c r="M1274">
        <v>14478.33015</v>
      </c>
    </row>
    <row r="1275" spans="1:13" x14ac:dyDescent="0.35">
      <c r="A1275" t="s">
        <v>12</v>
      </c>
      <c r="B1275" t="s">
        <v>10</v>
      </c>
      <c r="C1275" t="s">
        <v>11</v>
      </c>
      <c r="H1275">
        <f>IF(B1275="female", 0, 1)</f>
        <v>1</v>
      </c>
      <c r="I1275">
        <f>IF(C1275= "yes", 1, 0)</f>
        <v>0</v>
      </c>
      <c r="J1275">
        <v>35</v>
      </c>
      <c r="K1275">
        <v>27.61</v>
      </c>
      <c r="L1275">
        <v>1</v>
      </c>
      <c r="M1275">
        <v>4747.0528999999997</v>
      </c>
    </row>
    <row r="1276" spans="1:13" x14ac:dyDescent="0.35">
      <c r="A1276" t="s">
        <v>12</v>
      </c>
      <c r="B1276" t="s">
        <v>10</v>
      </c>
      <c r="C1276" t="s">
        <v>8</v>
      </c>
      <c r="H1276">
        <f>IF(B1276="female", 0, 1)</f>
        <v>1</v>
      </c>
      <c r="I1276">
        <f>IF(C1276= "yes", 1, 0)</f>
        <v>1</v>
      </c>
      <c r="J1276">
        <v>26</v>
      </c>
      <c r="K1276">
        <v>27.06</v>
      </c>
      <c r="L1276">
        <v>0</v>
      </c>
      <c r="M1276">
        <v>17043.341400000001</v>
      </c>
    </row>
    <row r="1277" spans="1:13" x14ac:dyDescent="0.35">
      <c r="A1277" t="s">
        <v>9</v>
      </c>
      <c r="B1277" t="s">
        <v>10</v>
      </c>
      <c r="C1277" t="s">
        <v>11</v>
      </c>
      <c r="H1277">
        <f>IF(B1277="female", 0, 1)</f>
        <v>1</v>
      </c>
      <c r="I1277">
        <f>IF(C1277= "yes", 1, 0)</f>
        <v>0</v>
      </c>
      <c r="J1277">
        <v>57</v>
      </c>
      <c r="K1277">
        <v>23.7</v>
      </c>
      <c r="L1277">
        <v>0</v>
      </c>
      <c r="M1277">
        <v>10959.33</v>
      </c>
    </row>
    <row r="1278" spans="1:13" x14ac:dyDescent="0.35">
      <c r="A1278" t="s">
        <v>14</v>
      </c>
      <c r="B1278" t="s">
        <v>7</v>
      </c>
      <c r="C1278" t="s">
        <v>11</v>
      </c>
      <c r="H1278">
        <f>IF(B1278="female", 0, 1)</f>
        <v>0</v>
      </c>
      <c r="I1278">
        <f>IF(C1278= "yes", 1, 0)</f>
        <v>0</v>
      </c>
      <c r="J1278">
        <v>22</v>
      </c>
      <c r="K1278">
        <v>30.4</v>
      </c>
      <c r="L1278">
        <v>0</v>
      </c>
      <c r="M1278">
        <v>2741.9479999999999</v>
      </c>
    </row>
    <row r="1279" spans="1:13" x14ac:dyDescent="0.35">
      <c r="A1279" t="s">
        <v>13</v>
      </c>
      <c r="B1279" t="s">
        <v>7</v>
      </c>
      <c r="C1279" t="s">
        <v>11</v>
      </c>
      <c r="H1279">
        <f>IF(B1279="female", 0, 1)</f>
        <v>0</v>
      </c>
      <c r="I1279">
        <f>IF(C1279= "yes", 1, 0)</f>
        <v>0</v>
      </c>
      <c r="J1279">
        <v>32</v>
      </c>
      <c r="K1279">
        <v>29.734999999999999</v>
      </c>
      <c r="L1279">
        <v>0</v>
      </c>
      <c r="M1279">
        <v>4357.0436499999996</v>
      </c>
    </row>
    <row r="1280" spans="1:13" x14ac:dyDescent="0.35">
      <c r="A1280" t="s">
        <v>14</v>
      </c>
      <c r="B1280" t="s">
        <v>10</v>
      </c>
      <c r="C1280" t="s">
        <v>8</v>
      </c>
      <c r="H1280">
        <f>IF(B1280="female", 0, 1)</f>
        <v>1</v>
      </c>
      <c r="I1280">
        <f>IF(C1280= "yes", 1, 0)</f>
        <v>1</v>
      </c>
      <c r="J1280">
        <v>39</v>
      </c>
      <c r="K1280">
        <v>29.925000000000001</v>
      </c>
      <c r="L1280">
        <v>1</v>
      </c>
      <c r="M1280">
        <v>22462.043750000001</v>
      </c>
    </row>
    <row r="1281" spans="1:13" x14ac:dyDescent="0.35">
      <c r="A1281" t="s">
        <v>13</v>
      </c>
      <c r="B1281" t="s">
        <v>7</v>
      </c>
      <c r="C1281" t="s">
        <v>11</v>
      </c>
      <c r="H1281">
        <f>IF(B1281="female", 0, 1)</f>
        <v>0</v>
      </c>
      <c r="I1281">
        <f>IF(C1281= "yes", 1, 0)</f>
        <v>0</v>
      </c>
      <c r="J1281">
        <v>25</v>
      </c>
      <c r="K1281">
        <v>26.79</v>
      </c>
      <c r="L1281">
        <v>2</v>
      </c>
      <c r="M1281">
        <v>4189.1130999999996</v>
      </c>
    </row>
    <row r="1282" spans="1:13" x14ac:dyDescent="0.35">
      <c r="A1282" t="s">
        <v>12</v>
      </c>
      <c r="B1282" t="s">
        <v>7</v>
      </c>
      <c r="C1282" t="s">
        <v>11</v>
      </c>
      <c r="H1282">
        <f>IF(B1282="female", 0, 1)</f>
        <v>0</v>
      </c>
      <c r="I1282">
        <f>IF(C1282= "yes", 1, 0)</f>
        <v>0</v>
      </c>
      <c r="J1282">
        <v>48</v>
      </c>
      <c r="K1282">
        <v>33.33</v>
      </c>
      <c r="L1282">
        <v>0</v>
      </c>
      <c r="M1282">
        <v>8283.6807000000008</v>
      </c>
    </row>
    <row r="1283" spans="1:13" x14ac:dyDescent="0.35">
      <c r="A1283" t="s">
        <v>13</v>
      </c>
      <c r="B1283" t="s">
        <v>7</v>
      </c>
      <c r="C1283" t="s">
        <v>8</v>
      </c>
      <c r="H1283">
        <f>IF(B1283="female", 0, 1)</f>
        <v>0</v>
      </c>
      <c r="I1283">
        <f>IF(C1283= "yes", 1, 0)</f>
        <v>1</v>
      </c>
      <c r="J1283">
        <v>47</v>
      </c>
      <c r="K1283">
        <v>27.645</v>
      </c>
      <c r="L1283">
        <v>2</v>
      </c>
      <c r="M1283">
        <v>24535.698550000001</v>
      </c>
    </row>
    <row r="1284" spans="1:13" x14ac:dyDescent="0.35">
      <c r="A1284" t="s">
        <v>14</v>
      </c>
      <c r="B1284" t="s">
        <v>7</v>
      </c>
      <c r="C1284" t="s">
        <v>8</v>
      </c>
      <c r="H1284">
        <f>IF(B1284="female", 0, 1)</f>
        <v>0</v>
      </c>
      <c r="I1284">
        <f>IF(C1284= "yes", 1, 0)</f>
        <v>1</v>
      </c>
      <c r="J1284">
        <v>18</v>
      </c>
      <c r="K1284">
        <v>21.66</v>
      </c>
      <c r="L1284">
        <v>0</v>
      </c>
      <c r="M1284">
        <v>14283.4594</v>
      </c>
    </row>
    <row r="1285" spans="1:13" x14ac:dyDescent="0.35">
      <c r="A1285" t="s">
        <v>12</v>
      </c>
      <c r="B1285" t="s">
        <v>10</v>
      </c>
      <c r="C1285" t="s">
        <v>11</v>
      </c>
      <c r="H1285">
        <f>IF(B1285="female", 0, 1)</f>
        <v>1</v>
      </c>
      <c r="I1285">
        <f>IF(C1285= "yes", 1, 0)</f>
        <v>0</v>
      </c>
      <c r="J1285">
        <v>18</v>
      </c>
      <c r="K1285">
        <v>30.03</v>
      </c>
      <c r="L1285">
        <v>1</v>
      </c>
      <c r="M1285">
        <v>1720.3536999999999</v>
      </c>
    </row>
    <row r="1286" spans="1:13" x14ac:dyDescent="0.35">
      <c r="A1286" t="s">
        <v>9</v>
      </c>
      <c r="B1286" t="s">
        <v>10</v>
      </c>
      <c r="C1286" t="s">
        <v>8</v>
      </c>
      <c r="H1286">
        <f>IF(B1286="female", 0, 1)</f>
        <v>1</v>
      </c>
      <c r="I1286">
        <f>IF(C1286= "yes", 1, 0)</f>
        <v>1</v>
      </c>
      <c r="J1286">
        <v>61</v>
      </c>
      <c r="K1286">
        <v>36.299999999999997</v>
      </c>
      <c r="L1286">
        <v>1</v>
      </c>
      <c r="M1286">
        <v>47403.88</v>
      </c>
    </row>
    <row r="1287" spans="1:13" x14ac:dyDescent="0.35">
      <c r="A1287" t="s">
        <v>14</v>
      </c>
      <c r="B1287" t="s">
        <v>7</v>
      </c>
      <c r="C1287" t="s">
        <v>11</v>
      </c>
      <c r="H1287">
        <f>IF(B1287="female", 0, 1)</f>
        <v>0</v>
      </c>
      <c r="I1287">
        <f>IF(C1287= "yes", 1, 0)</f>
        <v>0</v>
      </c>
      <c r="J1287">
        <v>47</v>
      </c>
      <c r="K1287">
        <v>24.32</v>
      </c>
      <c r="L1287">
        <v>0</v>
      </c>
      <c r="M1287">
        <v>8534.6718000000001</v>
      </c>
    </row>
    <row r="1288" spans="1:13" x14ac:dyDescent="0.35">
      <c r="A1288" t="s">
        <v>14</v>
      </c>
      <c r="B1288" t="s">
        <v>7</v>
      </c>
      <c r="C1288" t="s">
        <v>11</v>
      </c>
      <c r="H1288">
        <f>IF(B1288="female", 0, 1)</f>
        <v>0</v>
      </c>
      <c r="I1288">
        <f>IF(C1288= "yes", 1, 0)</f>
        <v>0</v>
      </c>
      <c r="J1288">
        <v>28</v>
      </c>
      <c r="K1288">
        <v>17.29</v>
      </c>
      <c r="L1288">
        <v>0</v>
      </c>
      <c r="M1288">
        <v>3732.6251000000002</v>
      </c>
    </row>
    <row r="1289" spans="1:13" x14ac:dyDescent="0.35">
      <c r="A1289" t="s">
        <v>9</v>
      </c>
      <c r="B1289" t="s">
        <v>7</v>
      </c>
      <c r="C1289" t="s">
        <v>11</v>
      </c>
      <c r="H1289">
        <f>IF(B1289="female", 0, 1)</f>
        <v>0</v>
      </c>
      <c r="I1289">
        <f>IF(C1289= "yes", 1, 0)</f>
        <v>0</v>
      </c>
      <c r="J1289">
        <v>36</v>
      </c>
      <c r="K1289">
        <v>25.9</v>
      </c>
      <c r="L1289">
        <v>1</v>
      </c>
      <c r="M1289">
        <v>5472.4489999999996</v>
      </c>
    </row>
    <row r="1290" spans="1:13" x14ac:dyDescent="0.35">
      <c r="A1290" t="s">
        <v>9</v>
      </c>
      <c r="B1290" t="s">
        <v>10</v>
      </c>
      <c r="C1290" t="s">
        <v>8</v>
      </c>
      <c r="H1290">
        <f>IF(B1290="female", 0, 1)</f>
        <v>1</v>
      </c>
      <c r="I1290">
        <f>IF(C1290= "yes", 1, 0)</f>
        <v>1</v>
      </c>
      <c r="J1290">
        <v>20</v>
      </c>
      <c r="K1290">
        <v>39.4</v>
      </c>
      <c r="L1290">
        <v>2</v>
      </c>
      <c r="M1290">
        <v>38344.565999999999</v>
      </c>
    </row>
    <row r="1291" spans="1:13" x14ac:dyDescent="0.35">
      <c r="A1291" t="s">
        <v>12</v>
      </c>
      <c r="B1291" t="s">
        <v>10</v>
      </c>
      <c r="C1291" t="s">
        <v>11</v>
      </c>
      <c r="H1291">
        <f>IF(B1291="female", 0, 1)</f>
        <v>1</v>
      </c>
      <c r="I1291">
        <f>IF(C1291= "yes", 1, 0)</f>
        <v>0</v>
      </c>
      <c r="J1291">
        <v>44</v>
      </c>
      <c r="K1291">
        <v>34.32</v>
      </c>
      <c r="L1291">
        <v>1</v>
      </c>
      <c r="M1291">
        <v>7147.4727999999996</v>
      </c>
    </row>
    <row r="1292" spans="1:13" x14ac:dyDescent="0.35">
      <c r="A1292" t="s">
        <v>14</v>
      </c>
      <c r="B1292" t="s">
        <v>7</v>
      </c>
      <c r="C1292" t="s">
        <v>11</v>
      </c>
      <c r="H1292">
        <f>IF(B1292="female", 0, 1)</f>
        <v>0</v>
      </c>
      <c r="I1292">
        <f>IF(C1292= "yes", 1, 0)</f>
        <v>0</v>
      </c>
      <c r="J1292">
        <v>38</v>
      </c>
      <c r="K1292">
        <v>19.95</v>
      </c>
      <c r="L1292">
        <v>2</v>
      </c>
      <c r="M1292">
        <v>7133.9025000000001</v>
      </c>
    </row>
    <row r="1293" spans="1:13" x14ac:dyDescent="0.35">
      <c r="A1293" t="s">
        <v>9</v>
      </c>
      <c r="B1293" t="s">
        <v>10</v>
      </c>
      <c r="C1293" t="s">
        <v>8</v>
      </c>
      <c r="H1293">
        <f>IF(B1293="female", 0, 1)</f>
        <v>1</v>
      </c>
      <c r="I1293">
        <f>IF(C1293= "yes", 1, 0)</f>
        <v>1</v>
      </c>
      <c r="J1293">
        <v>19</v>
      </c>
      <c r="K1293">
        <v>34.9</v>
      </c>
      <c r="L1293">
        <v>0</v>
      </c>
      <c r="M1293">
        <v>34828.654000000002</v>
      </c>
    </row>
    <row r="1294" spans="1:13" x14ac:dyDescent="0.35">
      <c r="A1294" t="s">
        <v>12</v>
      </c>
      <c r="B1294" t="s">
        <v>10</v>
      </c>
      <c r="C1294" t="s">
        <v>11</v>
      </c>
      <c r="H1294">
        <f>IF(B1294="female", 0, 1)</f>
        <v>1</v>
      </c>
      <c r="I1294">
        <f>IF(C1294= "yes", 1, 0)</f>
        <v>0</v>
      </c>
      <c r="J1294">
        <v>21</v>
      </c>
      <c r="K1294">
        <v>23.21</v>
      </c>
      <c r="L1294">
        <v>0</v>
      </c>
      <c r="M1294">
        <v>1515.3449000000001</v>
      </c>
    </row>
    <row r="1295" spans="1:13" x14ac:dyDescent="0.35">
      <c r="A1295" t="s">
        <v>13</v>
      </c>
      <c r="B1295" t="s">
        <v>10</v>
      </c>
      <c r="C1295" t="s">
        <v>11</v>
      </c>
      <c r="H1295">
        <f>IF(B1295="female", 0, 1)</f>
        <v>1</v>
      </c>
      <c r="I1295">
        <f>IF(C1295= "yes", 1, 0)</f>
        <v>0</v>
      </c>
      <c r="J1295">
        <v>46</v>
      </c>
      <c r="K1295">
        <v>25.745000000000001</v>
      </c>
      <c r="L1295">
        <v>3</v>
      </c>
      <c r="M1295">
        <v>9301.8935500000007</v>
      </c>
    </row>
    <row r="1296" spans="1:13" x14ac:dyDescent="0.35">
      <c r="A1296" t="s">
        <v>14</v>
      </c>
      <c r="B1296" t="s">
        <v>10</v>
      </c>
      <c r="C1296" t="s">
        <v>11</v>
      </c>
      <c r="H1296">
        <f>IF(B1296="female", 0, 1)</f>
        <v>1</v>
      </c>
      <c r="I1296">
        <f>IF(C1296= "yes", 1, 0)</f>
        <v>0</v>
      </c>
      <c r="J1296">
        <v>58</v>
      </c>
      <c r="K1296">
        <v>25.175000000000001</v>
      </c>
      <c r="L1296">
        <v>0</v>
      </c>
      <c r="M1296">
        <v>11931.125249999999</v>
      </c>
    </row>
    <row r="1297" spans="1:13" x14ac:dyDescent="0.35">
      <c r="A1297" t="s">
        <v>9</v>
      </c>
      <c r="B1297" t="s">
        <v>10</v>
      </c>
      <c r="C1297" t="s">
        <v>11</v>
      </c>
      <c r="H1297">
        <f>IF(B1297="female", 0, 1)</f>
        <v>1</v>
      </c>
      <c r="I1297">
        <f>IF(C1297= "yes", 1, 0)</f>
        <v>0</v>
      </c>
      <c r="J1297">
        <v>20</v>
      </c>
      <c r="K1297">
        <v>22</v>
      </c>
      <c r="L1297">
        <v>1</v>
      </c>
      <c r="M1297">
        <v>1964.78</v>
      </c>
    </row>
    <row r="1298" spans="1:13" x14ac:dyDescent="0.35">
      <c r="A1298" t="s">
        <v>14</v>
      </c>
      <c r="B1298" t="s">
        <v>10</v>
      </c>
      <c r="C1298" t="s">
        <v>11</v>
      </c>
      <c r="H1298">
        <f>IF(B1298="female", 0, 1)</f>
        <v>1</v>
      </c>
      <c r="I1298">
        <f>IF(C1298= "yes", 1, 0)</f>
        <v>0</v>
      </c>
      <c r="J1298">
        <v>18</v>
      </c>
      <c r="K1298">
        <v>26.125</v>
      </c>
      <c r="L1298">
        <v>0</v>
      </c>
      <c r="M1298">
        <v>1708.9257500000001</v>
      </c>
    </row>
    <row r="1299" spans="1:13" x14ac:dyDescent="0.35">
      <c r="A1299" t="s">
        <v>12</v>
      </c>
      <c r="B1299" t="s">
        <v>7</v>
      </c>
      <c r="C1299" t="s">
        <v>11</v>
      </c>
      <c r="H1299">
        <f>IF(B1299="female", 0, 1)</f>
        <v>0</v>
      </c>
      <c r="I1299">
        <f>IF(C1299= "yes", 1, 0)</f>
        <v>0</v>
      </c>
      <c r="J1299">
        <v>28</v>
      </c>
      <c r="K1299">
        <v>26.51</v>
      </c>
      <c r="L1299">
        <v>2</v>
      </c>
      <c r="M1299">
        <v>4340.4408999999996</v>
      </c>
    </row>
    <row r="1300" spans="1:13" x14ac:dyDescent="0.35">
      <c r="A1300" t="s">
        <v>13</v>
      </c>
      <c r="B1300" t="s">
        <v>10</v>
      </c>
      <c r="C1300" t="s">
        <v>11</v>
      </c>
      <c r="H1300">
        <f>IF(B1300="female", 0, 1)</f>
        <v>1</v>
      </c>
      <c r="I1300">
        <f>IF(C1300= "yes", 1, 0)</f>
        <v>0</v>
      </c>
      <c r="J1300">
        <v>33</v>
      </c>
      <c r="K1300">
        <v>27.454999999999998</v>
      </c>
      <c r="L1300">
        <v>2</v>
      </c>
      <c r="M1300">
        <v>5261.4694499999996</v>
      </c>
    </row>
    <row r="1301" spans="1:13" x14ac:dyDescent="0.35">
      <c r="A1301" t="s">
        <v>13</v>
      </c>
      <c r="B1301" t="s">
        <v>7</v>
      </c>
      <c r="C1301" t="s">
        <v>11</v>
      </c>
      <c r="H1301">
        <f>IF(B1301="female", 0, 1)</f>
        <v>0</v>
      </c>
      <c r="I1301">
        <f>IF(C1301= "yes", 1, 0)</f>
        <v>0</v>
      </c>
      <c r="J1301">
        <v>19</v>
      </c>
      <c r="K1301">
        <v>25.745000000000001</v>
      </c>
      <c r="L1301">
        <v>1</v>
      </c>
      <c r="M1301">
        <v>2710.8285500000002</v>
      </c>
    </row>
    <row r="1302" spans="1:13" x14ac:dyDescent="0.35">
      <c r="A1302" t="s">
        <v>12</v>
      </c>
      <c r="B1302" t="s">
        <v>10</v>
      </c>
      <c r="C1302" t="s">
        <v>8</v>
      </c>
      <c r="H1302">
        <f>IF(B1302="female", 0, 1)</f>
        <v>1</v>
      </c>
      <c r="I1302">
        <f>IF(C1302= "yes", 1, 0)</f>
        <v>1</v>
      </c>
      <c r="J1302">
        <v>45</v>
      </c>
      <c r="K1302">
        <v>30.36</v>
      </c>
      <c r="L1302">
        <v>0</v>
      </c>
      <c r="M1302">
        <v>62592.873090000001</v>
      </c>
    </row>
    <row r="1303" spans="1:13" x14ac:dyDescent="0.35">
      <c r="A1303" t="s">
        <v>13</v>
      </c>
      <c r="B1303" t="s">
        <v>10</v>
      </c>
      <c r="C1303" t="s">
        <v>8</v>
      </c>
      <c r="H1303">
        <f>IF(B1303="female", 0, 1)</f>
        <v>1</v>
      </c>
      <c r="I1303">
        <f>IF(C1303= "yes", 1, 0)</f>
        <v>1</v>
      </c>
      <c r="J1303">
        <v>62</v>
      </c>
      <c r="K1303">
        <v>30.875</v>
      </c>
      <c r="L1303">
        <v>3</v>
      </c>
      <c r="M1303">
        <v>46718.163249999998</v>
      </c>
    </row>
    <row r="1304" spans="1:13" x14ac:dyDescent="0.35">
      <c r="A1304" t="s">
        <v>9</v>
      </c>
      <c r="B1304" t="s">
        <v>7</v>
      </c>
      <c r="C1304" t="s">
        <v>11</v>
      </c>
      <c r="H1304">
        <f>IF(B1304="female", 0, 1)</f>
        <v>0</v>
      </c>
      <c r="I1304">
        <f>IF(C1304= "yes", 1, 0)</f>
        <v>0</v>
      </c>
      <c r="J1304">
        <v>25</v>
      </c>
      <c r="K1304">
        <v>20.8</v>
      </c>
      <c r="L1304">
        <v>1</v>
      </c>
      <c r="M1304">
        <v>3208.7869999999998</v>
      </c>
    </row>
    <row r="1305" spans="1:13" x14ac:dyDescent="0.35">
      <c r="A1305" t="s">
        <v>9</v>
      </c>
      <c r="B1305" t="s">
        <v>10</v>
      </c>
      <c r="C1305" t="s">
        <v>8</v>
      </c>
      <c r="H1305">
        <f>IF(B1305="female", 0, 1)</f>
        <v>1</v>
      </c>
      <c r="I1305">
        <f>IF(C1305= "yes", 1, 0)</f>
        <v>1</v>
      </c>
      <c r="J1305">
        <v>43</v>
      </c>
      <c r="K1305">
        <v>27.8</v>
      </c>
      <c r="L1305">
        <v>0</v>
      </c>
      <c r="M1305">
        <v>37829.724199999997</v>
      </c>
    </row>
    <row r="1306" spans="1:13" x14ac:dyDescent="0.35">
      <c r="A1306" t="s">
        <v>14</v>
      </c>
      <c r="B1306" t="s">
        <v>10</v>
      </c>
      <c r="C1306" t="s">
        <v>8</v>
      </c>
      <c r="H1306">
        <f>IF(B1306="female", 0, 1)</f>
        <v>1</v>
      </c>
      <c r="I1306">
        <f>IF(C1306= "yes", 1, 0)</f>
        <v>1</v>
      </c>
      <c r="J1306">
        <v>42</v>
      </c>
      <c r="K1306">
        <v>24.605</v>
      </c>
      <c r="L1306">
        <v>2</v>
      </c>
      <c r="M1306">
        <v>21259.377949999998</v>
      </c>
    </row>
    <row r="1307" spans="1:13" x14ac:dyDescent="0.35">
      <c r="A1307" t="s">
        <v>12</v>
      </c>
      <c r="B1307" t="s">
        <v>7</v>
      </c>
      <c r="C1307" t="s">
        <v>11</v>
      </c>
      <c r="H1307">
        <f>IF(B1307="female", 0, 1)</f>
        <v>0</v>
      </c>
      <c r="I1307">
        <f>IF(C1307= "yes", 1, 0)</f>
        <v>0</v>
      </c>
      <c r="J1307">
        <v>24</v>
      </c>
      <c r="K1307">
        <v>27.72</v>
      </c>
      <c r="L1307">
        <v>0</v>
      </c>
      <c r="M1307">
        <v>2464.6188000000002</v>
      </c>
    </row>
    <row r="1308" spans="1:13" x14ac:dyDescent="0.35">
      <c r="A1308" t="s">
        <v>14</v>
      </c>
      <c r="B1308" t="s">
        <v>7</v>
      </c>
      <c r="C1308" t="s">
        <v>8</v>
      </c>
      <c r="H1308">
        <f>IF(B1308="female", 0, 1)</f>
        <v>0</v>
      </c>
      <c r="I1308">
        <f>IF(C1308= "yes", 1, 0)</f>
        <v>1</v>
      </c>
      <c r="J1308">
        <v>29</v>
      </c>
      <c r="K1308">
        <v>21.85</v>
      </c>
      <c r="L1308">
        <v>0</v>
      </c>
      <c r="M1308">
        <v>16115.3045</v>
      </c>
    </row>
    <row r="1309" spans="1:13" x14ac:dyDescent="0.35">
      <c r="A1309" t="s">
        <v>13</v>
      </c>
      <c r="B1309" t="s">
        <v>10</v>
      </c>
      <c r="C1309" t="s">
        <v>8</v>
      </c>
      <c r="H1309">
        <f>IF(B1309="female", 0, 1)</f>
        <v>1</v>
      </c>
      <c r="I1309">
        <f>IF(C1309= "yes", 1, 0)</f>
        <v>1</v>
      </c>
      <c r="J1309">
        <v>32</v>
      </c>
      <c r="K1309">
        <v>28.12</v>
      </c>
      <c r="L1309">
        <v>4</v>
      </c>
      <c r="M1309">
        <v>21472.478800000001</v>
      </c>
    </row>
    <row r="1310" spans="1:13" x14ac:dyDescent="0.35">
      <c r="A1310" t="s">
        <v>9</v>
      </c>
      <c r="B1310" t="s">
        <v>7</v>
      </c>
      <c r="C1310" t="s">
        <v>8</v>
      </c>
      <c r="H1310">
        <f>IF(B1310="female", 0, 1)</f>
        <v>0</v>
      </c>
      <c r="I1310">
        <f>IF(C1310= "yes", 1, 0)</f>
        <v>1</v>
      </c>
      <c r="J1310">
        <v>25</v>
      </c>
      <c r="K1310">
        <v>30.2</v>
      </c>
      <c r="L1310">
        <v>0</v>
      </c>
      <c r="M1310">
        <v>33900.652999999998</v>
      </c>
    </row>
    <row r="1311" spans="1:13" x14ac:dyDescent="0.35">
      <c r="A1311" t="s">
        <v>9</v>
      </c>
      <c r="B1311" t="s">
        <v>10</v>
      </c>
      <c r="C1311" t="s">
        <v>11</v>
      </c>
      <c r="H1311">
        <f>IF(B1311="female", 0, 1)</f>
        <v>1</v>
      </c>
      <c r="I1311">
        <f>IF(C1311= "yes", 1, 0)</f>
        <v>0</v>
      </c>
      <c r="J1311">
        <v>41</v>
      </c>
      <c r="K1311">
        <v>32.200000000000003</v>
      </c>
      <c r="L1311">
        <v>2</v>
      </c>
      <c r="M1311">
        <v>6875.9610000000002</v>
      </c>
    </row>
    <row r="1312" spans="1:13" x14ac:dyDescent="0.35">
      <c r="A1312" t="s">
        <v>13</v>
      </c>
      <c r="B1312" t="s">
        <v>10</v>
      </c>
      <c r="C1312" t="s">
        <v>11</v>
      </c>
      <c r="H1312">
        <f>IF(B1312="female", 0, 1)</f>
        <v>1</v>
      </c>
      <c r="I1312">
        <f>IF(C1312= "yes", 1, 0)</f>
        <v>0</v>
      </c>
      <c r="J1312">
        <v>42</v>
      </c>
      <c r="K1312">
        <v>26.315000000000001</v>
      </c>
      <c r="L1312">
        <v>1</v>
      </c>
      <c r="M1312">
        <v>6940.90985</v>
      </c>
    </row>
    <row r="1313" spans="1:13" x14ac:dyDescent="0.35">
      <c r="A1313" t="s">
        <v>13</v>
      </c>
      <c r="B1313" t="s">
        <v>7</v>
      </c>
      <c r="C1313" t="s">
        <v>11</v>
      </c>
      <c r="H1313">
        <f>IF(B1313="female", 0, 1)</f>
        <v>0</v>
      </c>
      <c r="I1313">
        <f>IF(C1313= "yes", 1, 0)</f>
        <v>0</v>
      </c>
      <c r="J1313">
        <v>33</v>
      </c>
      <c r="K1313">
        <v>26.695</v>
      </c>
      <c r="L1313">
        <v>0</v>
      </c>
      <c r="M1313">
        <v>4571.4130500000001</v>
      </c>
    </row>
    <row r="1314" spans="1:13" x14ac:dyDescent="0.35">
      <c r="A1314" t="s">
        <v>9</v>
      </c>
      <c r="B1314" t="s">
        <v>10</v>
      </c>
      <c r="C1314" t="s">
        <v>11</v>
      </c>
      <c r="H1314">
        <f>IF(B1314="female", 0, 1)</f>
        <v>1</v>
      </c>
      <c r="I1314">
        <f>IF(C1314= "yes", 1, 0)</f>
        <v>0</v>
      </c>
      <c r="J1314">
        <v>34</v>
      </c>
      <c r="K1314">
        <v>42.9</v>
      </c>
      <c r="L1314">
        <v>1</v>
      </c>
      <c r="M1314">
        <v>4536.259</v>
      </c>
    </row>
    <row r="1315" spans="1:13" x14ac:dyDescent="0.35">
      <c r="A1315" t="s">
        <v>9</v>
      </c>
      <c r="B1315" t="s">
        <v>7</v>
      </c>
      <c r="C1315" t="s">
        <v>8</v>
      </c>
      <c r="H1315">
        <f>IF(B1315="female", 0, 1)</f>
        <v>0</v>
      </c>
      <c r="I1315">
        <f>IF(C1315= "yes", 1, 0)</f>
        <v>1</v>
      </c>
      <c r="J1315">
        <v>19</v>
      </c>
      <c r="K1315">
        <v>34.700000000000003</v>
      </c>
      <c r="L1315">
        <v>2</v>
      </c>
      <c r="M1315">
        <v>36397.576000000001</v>
      </c>
    </row>
    <row r="1316" spans="1:13" x14ac:dyDescent="0.35">
      <c r="A1316" t="s">
        <v>13</v>
      </c>
      <c r="B1316" t="s">
        <v>7</v>
      </c>
      <c r="C1316" t="s">
        <v>8</v>
      </c>
      <c r="H1316">
        <f>IF(B1316="female", 0, 1)</f>
        <v>0</v>
      </c>
      <c r="I1316">
        <f>IF(C1316= "yes", 1, 0)</f>
        <v>1</v>
      </c>
      <c r="J1316">
        <v>30</v>
      </c>
      <c r="K1316">
        <v>23.655000000000001</v>
      </c>
      <c r="L1316">
        <v>3</v>
      </c>
      <c r="M1316">
        <v>18765.87545</v>
      </c>
    </row>
    <row r="1317" spans="1:13" x14ac:dyDescent="0.35">
      <c r="A1317" t="s">
        <v>14</v>
      </c>
      <c r="B1317" t="s">
        <v>10</v>
      </c>
      <c r="C1317" t="s">
        <v>11</v>
      </c>
      <c r="H1317">
        <f>IF(B1317="female", 0, 1)</f>
        <v>1</v>
      </c>
      <c r="I1317">
        <f>IF(C1317= "yes", 1, 0)</f>
        <v>0</v>
      </c>
      <c r="J1317">
        <v>18</v>
      </c>
      <c r="K1317">
        <v>28.31</v>
      </c>
      <c r="L1317">
        <v>1</v>
      </c>
      <c r="M1317">
        <v>11272.331389999999</v>
      </c>
    </row>
    <row r="1318" spans="1:13" x14ac:dyDescent="0.35">
      <c r="A1318" t="s">
        <v>9</v>
      </c>
      <c r="B1318" t="s">
        <v>7</v>
      </c>
      <c r="C1318" t="s">
        <v>11</v>
      </c>
      <c r="H1318">
        <f>IF(B1318="female", 0, 1)</f>
        <v>0</v>
      </c>
      <c r="I1318">
        <f>IF(C1318= "yes", 1, 0)</f>
        <v>0</v>
      </c>
      <c r="J1318">
        <v>19</v>
      </c>
      <c r="K1318">
        <v>20.6</v>
      </c>
      <c r="L1318">
        <v>0</v>
      </c>
      <c r="M1318">
        <v>1731.6769999999999</v>
      </c>
    </row>
    <row r="1319" spans="1:13" x14ac:dyDescent="0.35">
      <c r="A1319" t="s">
        <v>12</v>
      </c>
      <c r="B1319" t="s">
        <v>10</v>
      </c>
      <c r="C1319" t="s">
        <v>11</v>
      </c>
      <c r="H1319">
        <f>IF(B1319="female", 0, 1)</f>
        <v>1</v>
      </c>
      <c r="I1319">
        <f>IF(C1319= "yes", 1, 0)</f>
        <v>0</v>
      </c>
      <c r="J1319">
        <v>18</v>
      </c>
      <c r="K1319">
        <v>53.13</v>
      </c>
      <c r="L1319">
        <v>0</v>
      </c>
      <c r="M1319">
        <v>1163.4627</v>
      </c>
    </row>
    <row r="1320" spans="1:13" x14ac:dyDescent="0.35">
      <c r="A1320" t="s">
        <v>14</v>
      </c>
      <c r="B1320" t="s">
        <v>10</v>
      </c>
      <c r="C1320" t="s">
        <v>11</v>
      </c>
      <c r="H1320">
        <f>IF(B1320="female", 0, 1)</f>
        <v>1</v>
      </c>
      <c r="I1320">
        <f>IF(C1320= "yes", 1, 0)</f>
        <v>0</v>
      </c>
      <c r="J1320">
        <v>35</v>
      </c>
      <c r="K1320">
        <v>39.71</v>
      </c>
      <c r="L1320">
        <v>4</v>
      </c>
      <c r="M1320">
        <v>19496.71917</v>
      </c>
    </row>
    <row r="1321" spans="1:13" x14ac:dyDescent="0.35">
      <c r="A1321" t="s">
        <v>13</v>
      </c>
      <c r="B1321" t="s">
        <v>7</v>
      </c>
      <c r="C1321" t="s">
        <v>11</v>
      </c>
      <c r="H1321">
        <f>IF(B1321="female", 0, 1)</f>
        <v>0</v>
      </c>
      <c r="I1321">
        <f>IF(C1321= "yes", 1, 0)</f>
        <v>0</v>
      </c>
      <c r="J1321">
        <v>39</v>
      </c>
      <c r="K1321">
        <v>26.315000000000001</v>
      </c>
      <c r="L1321">
        <v>2</v>
      </c>
      <c r="M1321">
        <v>7201.7008500000002</v>
      </c>
    </row>
    <row r="1322" spans="1:13" x14ac:dyDescent="0.35">
      <c r="A1322" t="s">
        <v>13</v>
      </c>
      <c r="B1322" t="s">
        <v>10</v>
      </c>
      <c r="C1322" t="s">
        <v>11</v>
      </c>
      <c r="H1322">
        <f>IF(B1322="female", 0, 1)</f>
        <v>1</v>
      </c>
      <c r="I1322">
        <f>IF(C1322= "yes", 1, 0)</f>
        <v>0</v>
      </c>
      <c r="J1322">
        <v>31</v>
      </c>
      <c r="K1322">
        <v>31.065000000000001</v>
      </c>
      <c r="L1322">
        <v>3</v>
      </c>
      <c r="M1322">
        <v>5425.0233500000004</v>
      </c>
    </row>
    <row r="1323" spans="1:13" x14ac:dyDescent="0.35">
      <c r="A1323" t="s">
        <v>14</v>
      </c>
      <c r="B1323" t="s">
        <v>10</v>
      </c>
      <c r="C1323" t="s">
        <v>8</v>
      </c>
      <c r="H1323">
        <f>IF(B1323="female", 0, 1)</f>
        <v>1</v>
      </c>
      <c r="I1323">
        <f>IF(C1323= "yes", 1, 0)</f>
        <v>1</v>
      </c>
      <c r="J1323">
        <v>62</v>
      </c>
      <c r="K1323">
        <v>26.695</v>
      </c>
      <c r="L1323">
        <v>0</v>
      </c>
      <c r="M1323">
        <v>28101.333050000001</v>
      </c>
    </row>
    <row r="1324" spans="1:13" x14ac:dyDescent="0.35">
      <c r="A1324" t="s">
        <v>12</v>
      </c>
      <c r="B1324" t="s">
        <v>10</v>
      </c>
      <c r="C1324" t="s">
        <v>11</v>
      </c>
      <c r="H1324">
        <f>IF(B1324="female", 0, 1)</f>
        <v>1</v>
      </c>
      <c r="I1324">
        <f>IF(C1324= "yes", 1, 0)</f>
        <v>0</v>
      </c>
      <c r="J1324">
        <v>62</v>
      </c>
      <c r="K1324">
        <v>38.83</v>
      </c>
      <c r="L1324">
        <v>0</v>
      </c>
      <c r="M1324">
        <v>12981.3457</v>
      </c>
    </row>
    <row r="1325" spans="1:13" x14ac:dyDescent="0.35">
      <c r="A1325" t="s">
        <v>12</v>
      </c>
      <c r="B1325" t="s">
        <v>7</v>
      </c>
      <c r="C1325" t="s">
        <v>8</v>
      </c>
      <c r="H1325">
        <f>IF(B1325="female", 0, 1)</f>
        <v>0</v>
      </c>
      <c r="I1325">
        <f>IF(C1325= "yes", 1, 0)</f>
        <v>1</v>
      </c>
      <c r="J1325">
        <v>42</v>
      </c>
      <c r="K1325">
        <v>40.369999999999997</v>
      </c>
      <c r="L1325">
        <v>2</v>
      </c>
      <c r="M1325">
        <v>43896.376300000004</v>
      </c>
    </row>
    <row r="1326" spans="1:13" x14ac:dyDescent="0.35">
      <c r="A1326" t="s">
        <v>13</v>
      </c>
      <c r="B1326" t="s">
        <v>10</v>
      </c>
      <c r="C1326" t="s">
        <v>11</v>
      </c>
      <c r="H1326">
        <f>IF(B1326="female", 0, 1)</f>
        <v>1</v>
      </c>
      <c r="I1326">
        <f>IF(C1326= "yes", 1, 0)</f>
        <v>0</v>
      </c>
      <c r="J1326">
        <v>31</v>
      </c>
      <c r="K1326">
        <v>25.934999999999999</v>
      </c>
      <c r="L1326">
        <v>1</v>
      </c>
      <c r="M1326">
        <v>4239.8926499999998</v>
      </c>
    </row>
    <row r="1327" spans="1:13" x14ac:dyDescent="0.35">
      <c r="A1327" t="s">
        <v>14</v>
      </c>
      <c r="B1327" t="s">
        <v>10</v>
      </c>
      <c r="C1327" t="s">
        <v>11</v>
      </c>
      <c r="H1327">
        <f>IF(B1327="female", 0, 1)</f>
        <v>1</v>
      </c>
      <c r="I1327">
        <f>IF(C1327= "yes", 1, 0)</f>
        <v>0</v>
      </c>
      <c r="J1327">
        <v>61</v>
      </c>
      <c r="K1327">
        <v>33.534999999999997</v>
      </c>
      <c r="L1327">
        <v>0</v>
      </c>
      <c r="M1327">
        <v>13143.336649999999</v>
      </c>
    </row>
    <row r="1328" spans="1:13" x14ac:dyDescent="0.35">
      <c r="A1328" t="s">
        <v>14</v>
      </c>
      <c r="B1328" t="s">
        <v>7</v>
      </c>
      <c r="C1328" t="s">
        <v>11</v>
      </c>
      <c r="H1328">
        <f>IF(B1328="female", 0, 1)</f>
        <v>0</v>
      </c>
      <c r="I1328">
        <f>IF(C1328= "yes", 1, 0)</f>
        <v>0</v>
      </c>
      <c r="J1328">
        <v>42</v>
      </c>
      <c r="K1328">
        <v>32.869999999999997</v>
      </c>
      <c r="L1328">
        <v>0</v>
      </c>
      <c r="M1328">
        <v>7050.0213000000003</v>
      </c>
    </row>
    <row r="1329" spans="1:13" x14ac:dyDescent="0.35">
      <c r="A1329" t="s">
        <v>12</v>
      </c>
      <c r="B1329" t="s">
        <v>10</v>
      </c>
      <c r="C1329" t="s">
        <v>11</v>
      </c>
      <c r="H1329">
        <f>IF(B1329="female", 0, 1)</f>
        <v>1</v>
      </c>
      <c r="I1329">
        <f>IF(C1329= "yes", 1, 0)</f>
        <v>0</v>
      </c>
      <c r="J1329">
        <v>51</v>
      </c>
      <c r="K1329">
        <v>30.03</v>
      </c>
      <c r="L1329">
        <v>1</v>
      </c>
      <c r="M1329">
        <v>9377.9046999999991</v>
      </c>
    </row>
    <row r="1330" spans="1:13" x14ac:dyDescent="0.35">
      <c r="A1330" t="s">
        <v>14</v>
      </c>
      <c r="B1330" t="s">
        <v>7</v>
      </c>
      <c r="C1330" t="s">
        <v>11</v>
      </c>
      <c r="H1330">
        <f>IF(B1330="female", 0, 1)</f>
        <v>0</v>
      </c>
      <c r="I1330">
        <f>IF(C1330= "yes", 1, 0)</f>
        <v>0</v>
      </c>
      <c r="J1330">
        <v>23</v>
      </c>
      <c r="K1330">
        <v>24.225000000000001</v>
      </c>
      <c r="L1330">
        <v>2</v>
      </c>
      <c r="M1330">
        <v>22395.74424</v>
      </c>
    </row>
    <row r="1331" spans="1:13" x14ac:dyDescent="0.35">
      <c r="A1331" t="s">
        <v>9</v>
      </c>
      <c r="B1331" t="s">
        <v>10</v>
      </c>
      <c r="C1331" t="s">
        <v>11</v>
      </c>
      <c r="H1331">
        <f>IF(B1331="female", 0, 1)</f>
        <v>1</v>
      </c>
      <c r="I1331">
        <f>IF(C1331= "yes", 1, 0)</f>
        <v>0</v>
      </c>
      <c r="J1331">
        <v>52</v>
      </c>
      <c r="K1331">
        <v>38.6</v>
      </c>
      <c r="L1331">
        <v>2</v>
      </c>
      <c r="M1331">
        <v>10325.206</v>
      </c>
    </row>
    <row r="1332" spans="1:13" x14ac:dyDescent="0.35">
      <c r="A1332" t="s">
        <v>12</v>
      </c>
      <c r="B1332" t="s">
        <v>7</v>
      </c>
      <c r="C1332" t="s">
        <v>11</v>
      </c>
      <c r="H1332">
        <f>IF(B1332="female", 0, 1)</f>
        <v>0</v>
      </c>
      <c r="I1332">
        <f>IF(C1332= "yes", 1, 0)</f>
        <v>0</v>
      </c>
      <c r="J1332">
        <v>57</v>
      </c>
      <c r="K1332">
        <v>25.74</v>
      </c>
      <c r="L1332">
        <v>2</v>
      </c>
      <c r="M1332">
        <v>12629.1656</v>
      </c>
    </row>
    <row r="1333" spans="1:13" x14ac:dyDescent="0.35">
      <c r="A1333" t="s">
        <v>9</v>
      </c>
      <c r="B1333" t="s">
        <v>7</v>
      </c>
      <c r="C1333" t="s">
        <v>11</v>
      </c>
      <c r="H1333">
        <f>IF(B1333="female", 0, 1)</f>
        <v>0</v>
      </c>
      <c r="I1333">
        <f>IF(C1333= "yes", 1, 0)</f>
        <v>0</v>
      </c>
      <c r="J1333">
        <v>23</v>
      </c>
      <c r="K1333">
        <v>33.4</v>
      </c>
      <c r="L1333">
        <v>0</v>
      </c>
      <c r="M1333">
        <v>10795.937330000001</v>
      </c>
    </row>
    <row r="1334" spans="1:13" x14ac:dyDescent="0.35">
      <c r="A1334" t="s">
        <v>9</v>
      </c>
      <c r="B1334" t="s">
        <v>7</v>
      </c>
      <c r="C1334" t="s">
        <v>11</v>
      </c>
      <c r="H1334">
        <f>IF(B1334="female", 0, 1)</f>
        <v>0</v>
      </c>
      <c r="I1334">
        <f>IF(C1334= "yes", 1, 0)</f>
        <v>0</v>
      </c>
      <c r="J1334">
        <v>52</v>
      </c>
      <c r="K1334">
        <v>44.7</v>
      </c>
      <c r="L1334">
        <v>3</v>
      </c>
      <c r="M1334">
        <v>11411.684999999999</v>
      </c>
    </row>
    <row r="1335" spans="1:13" x14ac:dyDescent="0.35">
      <c r="A1335" t="s">
        <v>13</v>
      </c>
      <c r="B1335" t="s">
        <v>10</v>
      </c>
      <c r="C1335" t="s">
        <v>11</v>
      </c>
      <c r="H1335">
        <f>IF(B1335="female", 0, 1)</f>
        <v>1</v>
      </c>
      <c r="I1335">
        <f>IF(C1335= "yes", 1, 0)</f>
        <v>0</v>
      </c>
      <c r="J1335">
        <v>50</v>
      </c>
      <c r="K1335">
        <v>30.97</v>
      </c>
      <c r="L1335">
        <v>3</v>
      </c>
      <c r="M1335">
        <v>10600.5483</v>
      </c>
    </row>
    <row r="1336" spans="1:13" x14ac:dyDescent="0.35">
      <c r="A1336" t="s">
        <v>14</v>
      </c>
      <c r="B1336" t="s">
        <v>7</v>
      </c>
      <c r="C1336" t="s">
        <v>11</v>
      </c>
      <c r="H1336">
        <f>IF(B1336="female", 0, 1)</f>
        <v>0</v>
      </c>
      <c r="I1336">
        <f>IF(C1336= "yes", 1, 0)</f>
        <v>0</v>
      </c>
      <c r="J1336">
        <v>18</v>
      </c>
      <c r="K1336">
        <v>31.92</v>
      </c>
      <c r="L1336">
        <v>0</v>
      </c>
      <c r="M1336">
        <v>2205.9807999999998</v>
      </c>
    </row>
    <row r="1337" spans="1:13" x14ac:dyDescent="0.35">
      <c r="A1337" t="s">
        <v>12</v>
      </c>
      <c r="B1337" t="s">
        <v>7</v>
      </c>
      <c r="C1337" t="s">
        <v>11</v>
      </c>
      <c r="H1337">
        <f>IF(B1337="female", 0, 1)</f>
        <v>0</v>
      </c>
      <c r="I1337">
        <f>IF(C1337= "yes", 1, 0)</f>
        <v>0</v>
      </c>
      <c r="J1337">
        <v>18</v>
      </c>
      <c r="K1337">
        <v>36.85</v>
      </c>
      <c r="L1337">
        <v>0</v>
      </c>
      <c r="M1337">
        <v>1629.8335</v>
      </c>
    </row>
    <row r="1338" spans="1:13" x14ac:dyDescent="0.35">
      <c r="A1338" t="s">
        <v>9</v>
      </c>
      <c r="B1338" t="s">
        <v>7</v>
      </c>
      <c r="C1338" t="s">
        <v>11</v>
      </c>
      <c r="H1338">
        <f>IF(B1338="female", 0, 1)</f>
        <v>0</v>
      </c>
      <c r="I1338">
        <f>IF(C1338= "yes", 1, 0)</f>
        <v>0</v>
      </c>
      <c r="J1338">
        <v>21</v>
      </c>
      <c r="K1338">
        <v>25.8</v>
      </c>
      <c r="L1338">
        <v>0</v>
      </c>
      <c r="M1338">
        <v>2007.9449999999999</v>
      </c>
    </row>
    <row r="1339" spans="1:13" x14ac:dyDescent="0.35">
      <c r="A1339" t="s">
        <v>13</v>
      </c>
      <c r="B1339" t="s">
        <v>7</v>
      </c>
      <c r="C1339" t="s">
        <v>8</v>
      </c>
      <c r="H1339">
        <f>IF(B1339="female", 0, 1)</f>
        <v>0</v>
      </c>
      <c r="I1339">
        <f>IF(C1339= "yes", 1, 0)</f>
        <v>1</v>
      </c>
      <c r="J1339">
        <v>61</v>
      </c>
      <c r="K1339">
        <v>29.07</v>
      </c>
      <c r="L1339">
        <v>0</v>
      </c>
      <c r="M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Camden Taylor</dc:creator>
  <cp:lastModifiedBy>Camden Taylor</cp:lastModifiedBy>
  <dcterms:created xsi:type="dcterms:W3CDTF">2025-02-11T20:47:41Z</dcterms:created>
  <dcterms:modified xsi:type="dcterms:W3CDTF">2025-02-11T20:47:41Z</dcterms:modified>
</cp:coreProperties>
</file>